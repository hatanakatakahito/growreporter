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tan\Desktop\"/>
    </mc:Choice>
  </mc:AlternateContent>
  <xr:revisionPtr revIDLastSave="0" documentId="13_ncr:1_{FF6F5293-3FDF-4FAE-8D3E-7B9EAC3A2D98}" xr6:coauthVersionLast="47" xr6:coauthVersionMax="47" xr10:uidLastSave="{00000000-0000-0000-0000-000000000000}"/>
  <bookViews>
    <workbookView xWindow="-120" yWindow="-120" windowWidth="29040" windowHeight="15720" tabRatio="940" firstSheet="5" activeTab="13" xr2:uid="{00000000-000D-0000-FFFF-FFFF00000000}"/>
  </bookViews>
  <sheets>
    <sheet name="表紙" sheetId="1" r:id="rId1"/>
    <sheet name="エグゼクティブサマリー" sheetId="2" r:id="rId2"/>
    <sheet name="月別基本指標" sheetId="3" r:id="rId3"/>
    <sheet name="月別CV推移（統合）" sheetId="4" r:id="rId4"/>
    <sheet name="コンバージョン一覧" sheetId="5" r:id="rId5"/>
    <sheet name="逆算フロー（長期利用）" sheetId="6" r:id="rId6"/>
    <sheet name="集客チャネル" sheetId="7" r:id="rId7"/>
    <sheet name="被リンク元（上位30）" sheetId="8" r:id="rId8"/>
    <sheet name="ランディングページ（上位）" sheetId="9" r:id="rId9"/>
    <sheet name="ページ別（上位）" sheetId="10" r:id="rId10"/>
    <sheet name="ページ分類別" sheetId="11" r:id="rId11"/>
    <sheet name="ユーザー属性" sheetId="12" r:id="rId12"/>
    <sheet name="曜日・時間帯別" sheetId="13" r:id="rId13"/>
    <sheet name="改善提案アクションプラン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13" l="1"/>
  <c r="D9" i="13" s="1"/>
  <c r="B12" i="13"/>
  <c r="D11" i="13"/>
  <c r="D10" i="13"/>
  <c r="B14" i="12"/>
  <c r="B7" i="12"/>
  <c r="C28" i="11"/>
  <c r="E14" i="7"/>
  <c r="F14" i="7" s="1"/>
  <c r="D14" i="7"/>
  <c r="C14" i="7"/>
  <c r="B14" i="7"/>
  <c r="D15" i="6"/>
  <c r="F14" i="6"/>
  <c r="D14" i="6"/>
  <c r="F13" i="6"/>
  <c r="D13" i="6"/>
  <c r="F12" i="6"/>
  <c r="D12" i="6"/>
  <c r="F11" i="6"/>
  <c r="D11" i="6"/>
  <c r="D7" i="6"/>
  <c r="D6" i="6"/>
  <c r="B31" i="5"/>
  <c r="C30" i="5"/>
  <c r="C29" i="5"/>
  <c r="C28" i="5"/>
  <c r="C27" i="5"/>
  <c r="C26" i="5"/>
  <c r="C25" i="5"/>
  <c r="C24" i="5"/>
  <c r="E23" i="5"/>
  <c r="C23" i="5"/>
  <c r="E22" i="5"/>
  <c r="C22" i="5"/>
  <c r="H18" i="5"/>
  <c r="G18" i="5"/>
  <c r="F18" i="5"/>
  <c r="E18" i="5"/>
  <c r="D18" i="5"/>
  <c r="C18" i="5"/>
  <c r="B18" i="5"/>
  <c r="J58" i="4"/>
  <c r="I58" i="4"/>
  <c r="H58" i="4"/>
  <c r="G58" i="4"/>
  <c r="F58" i="4"/>
  <c r="E58" i="4"/>
  <c r="D58" i="4"/>
  <c r="C58" i="4"/>
  <c r="B58" i="4"/>
  <c r="G17" i="3"/>
  <c r="H17" i="3" s="1"/>
  <c r="E17" i="3"/>
  <c r="D17" i="3"/>
  <c r="C17" i="3"/>
  <c r="B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D5" i="13" l="1"/>
  <c r="D6" i="13"/>
  <c r="D7" i="13"/>
  <c r="D8" i="13"/>
</calcChain>
</file>

<file path=xl/sharedStrings.xml><?xml version="1.0" encoding="utf-8"?>
<sst xmlns="http://schemas.openxmlformats.org/spreadsheetml/2006/main" count="937" uniqueCount="721">
  <si>
    <r>
      <rPr>
        <b/>
        <sz val="20"/>
        <color rgb="FF2347A0"/>
        <rFont val="Meiryo UI"/>
        <family val="3"/>
        <charset val="128"/>
      </rPr>
      <t>DORMY BIZ  Web</t>
    </r>
    <r>
      <rPr>
        <b/>
        <sz val="20"/>
        <color rgb="FF2347A0"/>
        <rFont val="Noto Sans CJK SC"/>
        <family val="2"/>
      </rPr>
      <t>アクセス解析レポート</t>
    </r>
  </si>
  <si>
    <r>
      <rPr>
        <sz val="11"/>
        <color rgb="FF3D4F80"/>
        <rFont val="Meiryo UI"/>
        <family val="3"/>
        <charset val="128"/>
      </rPr>
      <t>2025</t>
    </r>
    <r>
      <rPr>
        <sz val="11"/>
        <color rgb="FF3D4F80"/>
        <rFont val="Noto Sans CJK SC"/>
        <family val="2"/>
      </rPr>
      <t>年</t>
    </r>
    <r>
      <rPr>
        <sz val="11"/>
        <color rgb="FF3D4F80"/>
        <rFont val="Meiryo UI"/>
        <family val="3"/>
        <charset val="128"/>
      </rPr>
      <t>4</t>
    </r>
    <r>
      <rPr>
        <sz val="11"/>
        <color rgb="FF3D4F80"/>
        <rFont val="Noto Sans CJK SC"/>
        <family val="2"/>
      </rPr>
      <t>月</t>
    </r>
    <r>
      <rPr>
        <sz val="11"/>
        <color rgb="FF3D4F80"/>
        <rFont val="Meiryo UI"/>
        <family val="3"/>
        <charset val="128"/>
      </rPr>
      <t>1</t>
    </r>
    <r>
      <rPr>
        <sz val="11"/>
        <color rgb="FF3D4F80"/>
        <rFont val="Noto Sans CJK SC"/>
        <family val="2"/>
      </rPr>
      <t xml:space="preserve">日 ─ </t>
    </r>
    <r>
      <rPr>
        <sz val="11"/>
        <color rgb="FF3D4F80"/>
        <rFont val="Meiryo UI"/>
        <family val="3"/>
        <charset val="128"/>
      </rPr>
      <t>2026</t>
    </r>
    <r>
      <rPr>
        <sz val="11"/>
        <color rgb="FF3D4F80"/>
        <rFont val="Noto Sans CJK SC"/>
        <family val="2"/>
      </rPr>
      <t>年</t>
    </r>
    <r>
      <rPr>
        <sz val="11"/>
        <color rgb="FF3D4F80"/>
        <rFont val="Meiryo UI"/>
        <family val="3"/>
        <charset val="128"/>
      </rPr>
      <t>3</t>
    </r>
    <r>
      <rPr>
        <sz val="11"/>
        <color rgb="FF3D4F80"/>
        <rFont val="Noto Sans CJK SC"/>
        <family val="2"/>
      </rPr>
      <t>月</t>
    </r>
    <r>
      <rPr>
        <sz val="11"/>
        <color rgb="FF3D4F80"/>
        <rFont val="Meiryo UI"/>
        <family val="3"/>
        <charset val="128"/>
      </rPr>
      <t>31</t>
    </r>
    <r>
      <rPr>
        <sz val="11"/>
        <color rgb="FF3D4F80"/>
        <rFont val="Noto Sans CJK SC"/>
        <family val="2"/>
      </rPr>
      <t>日　｜　過去</t>
    </r>
    <r>
      <rPr>
        <sz val="11"/>
        <color rgb="FF3D4F80"/>
        <rFont val="Meiryo UI"/>
        <family val="3"/>
        <charset val="128"/>
      </rPr>
      <t>CV</t>
    </r>
    <r>
      <rPr>
        <sz val="11"/>
        <color rgb="FF3D4F80"/>
        <rFont val="Noto Sans CJK SC"/>
        <family val="2"/>
      </rPr>
      <t>推移（</t>
    </r>
    <r>
      <rPr>
        <sz val="11"/>
        <color rgb="FF3D4F80"/>
        <rFont val="Meiryo UI"/>
        <family val="3"/>
        <charset val="128"/>
      </rPr>
      <t>2021</t>
    </r>
    <r>
      <rPr>
        <sz val="11"/>
        <color rgb="FF3D4F80"/>
        <rFont val="Noto Sans CJK SC"/>
        <family val="2"/>
      </rPr>
      <t>年〜）統合版</t>
    </r>
  </si>
  <si>
    <t>年間主要KPI</t>
  </si>
  <si>
    <t>1,041,986</t>
  </si>
  <si>
    <r>
      <rPr>
        <b/>
        <sz val="18"/>
        <color rgb="FF2347A0"/>
        <rFont val="Meiryo UI"/>
        <family val="3"/>
        <charset val="128"/>
      </rPr>
      <t>1,354</t>
    </r>
    <r>
      <rPr>
        <b/>
        <sz val="18"/>
        <color rgb="FF2347A0"/>
        <rFont val="Noto Sans CJK SC"/>
        <family val="2"/>
      </rPr>
      <t>件</t>
    </r>
  </si>
  <si>
    <r>
      <rPr>
        <b/>
        <sz val="18"/>
        <color rgb="FF2347A0"/>
        <rFont val="Meiryo UI"/>
        <family val="3"/>
        <charset val="128"/>
      </rPr>
      <t>250</t>
    </r>
    <r>
      <rPr>
        <b/>
        <sz val="18"/>
        <color rgb="FF2347A0"/>
        <rFont val="Noto Sans CJK SC"/>
        <family val="2"/>
      </rPr>
      <t>件</t>
    </r>
  </si>
  <si>
    <t>0.13%</t>
  </si>
  <si>
    <t>セッション数</t>
  </si>
  <si>
    <r>
      <rPr>
        <sz val="9"/>
        <color rgb="FF3D4F80"/>
        <rFont val="Meiryo UI"/>
        <family val="3"/>
        <charset val="128"/>
      </rPr>
      <t>CV</t>
    </r>
    <r>
      <rPr>
        <sz val="9"/>
        <color rgb="FF3D4F80"/>
        <rFont val="Noto Sans CJK SC"/>
        <family val="2"/>
      </rPr>
      <t>総数</t>
    </r>
  </si>
  <si>
    <t>長期利用CV</t>
  </si>
  <si>
    <r>
      <rPr>
        <sz val="9"/>
        <color rgb="FF3D4F80"/>
        <rFont val="Meiryo UI"/>
        <family val="3"/>
        <charset val="128"/>
      </rPr>
      <t>CVR</t>
    </r>
    <r>
      <rPr>
        <sz val="9"/>
        <color rgb="FF3D4F80"/>
        <rFont val="Noto Sans CJK SC"/>
        <family val="2"/>
      </rPr>
      <t>（全体）</t>
    </r>
  </si>
  <si>
    <t>レポート情報</t>
  </si>
  <si>
    <t>サイト名</t>
  </si>
  <si>
    <t>社員寮 独身寮「ドーミー」— DORMY BIZ</t>
  </si>
  <si>
    <t>URL</t>
  </si>
  <si>
    <t>https://www.dormybiz.com/</t>
  </si>
  <si>
    <t>分析ツール</t>
  </si>
  <si>
    <r>
      <rPr>
        <sz val="10"/>
        <color rgb="FF1E293B"/>
        <rFont val="Meiryo UI"/>
        <family val="3"/>
        <charset val="128"/>
      </rPr>
      <t>Google Analytics 4</t>
    </r>
    <r>
      <rPr>
        <sz val="10"/>
        <color rgb="FF1E293B"/>
        <rFont val="Noto Sans CJK SC"/>
        <family val="2"/>
      </rPr>
      <t>（</t>
    </r>
    <r>
      <rPr>
        <sz val="10"/>
        <color rgb="FF1E293B"/>
        <rFont val="Meiryo UI"/>
        <family val="3"/>
        <charset val="128"/>
      </rPr>
      <t>GA4</t>
    </r>
    <r>
      <rPr>
        <sz val="10"/>
        <color rgb="FF1E293B"/>
        <rFont val="Noto Sans CJK SC"/>
        <family val="2"/>
      </rPr>
      <t>）</t>
    </r>
    <r>
      <rPr>
        <sz val="10"/>
        <color rgb="FF1E293B"/>
        <rFont val="Meiryo UI"/>
        <family val="3"/>
        <charset val="128"/>
      </rPr>
      <t>/ Google Search Console</t>
    </r>
  </si>
  <si>
    <t>分析期間</t>
  </si>
  <si>
    <r>
      <rPr>
        <sz val="10"/>
        <color rgb="FF1E293B"/>
        <rFont val="Meiryo UI"/>
        <family val="3"/>
        <charset val="128"/>
      </rPr>
      <t>2025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4</t>
    </r>
    <r>
      <rPr>
        <sz val="10"/>
        <color rgb="FF1E293B"/>
        <rFont val="Noto Sans CJK SC"/>
        <family val="2"/>
      </rPr>
      <t>月</t>
    </r>
    <r>
      <rPr>
        <sz val="10"/>
        <color rgb="FF1E293B"/>
        <rFont val="Meiryo UI"/>
        <family val="3"/>
        <charset val="128"/>
      </rPr>
      <t>1</t>
    </r>
    <r>
      <rPr>
        <sz val="10"/>
        <color rgb="FF1E293B"/>
        <rFont val="Noto Sans CJK SC"/>
        <family val="2"/>
      </rPr>
      <t xml:space="preserve">日 〜 </t>
    </r>
    <r>
      <rPr>
        <sz val="10"/>
        <color rgb="FF1E293B"/>
        <rFont val="Meiryo UI"/>
        <family val="3"/>
        <charset val="128"/>
      </rPr>
      <t>2026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3</t>
    </r>
    <r>
      <rPr>
        <sz val="10"/>
        <color rgb="FF1E293B"/>
        <rFont val="Noto Sans CJK SC"/>
        <family val="2"/>
      </rPr>
      <t>月</t>
    </r>
    <r>
      <rPr>
        <sz val="10"/>
        <color rgb="FF1E293B"/>
        <rFont val="Meiryo UI"/>
        <family val="3"/>
        <charset val="128"/>
      </rPr>
      <t>31</t>
    </r>
    <r>
      <rPr>
        <sz val="10"/>
        <color rgb="FF1E293B"/>
        <rFont val="Noto Sans CJK SC"/>
        <family val="2"/>
      </rPr>
      <t>日</t>
    </r>
  </si>
  <si>
    <t>比較データ</t>
  </si>
  <si>
    <r>
      <rPr>
        <sz val="10"/>
        <color rgb="FF1E293B"/>
        <rFont val="Meiryo UI"/>
        <family val="3"/>
        <charset val="128"/>
      </rPr>
      <t>2021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4</t>
    </r>
    <r>
      <rPr>
        <sz val="10"/>
        <color rgb="FF1E293B"/>
        <rFont val="Noto Sans CJK SC"/>
        <family val="2"/>
      </rPr>
      <t xml:space="preserve">月〜 </t>
    </r>
    <r>
      <rPr>
        <sz val="10"/>
        <color rgb="FF1E293B"/>
        <rFont val="Meiryo UI"/>
        <family val="3"/>
        <charset val="128"/>
      </rPr>
      <t>CV</t>
    </r>
    <r>
      <rPr>
        <sz val="10"/>
        <color rgb="FF1E293B"/>
        <rFont val="Noto Sans CJK SC"/>
        <family val="2"/>
      </rPr>
      <t>目標推移（過去履歴統合）</t>
    </r>
  </si>
  <si>
    <t>作成</t>
  </si>
  <si>
    <r>
      <rPr>
        <sz val="10"/>
        <color rgb="FF1E293B"/>
        <rFont val="Meiryo UI"/>
        <family val="3"/>
        <charset val="128"/>
      </rPr>
      <t>GrowGroup</t>
    </r>
    <r>
      <rPr>
        <sz val="10"/>
        <color rgb="FF1E293B"/>
        <rFont val="Noto Sans CJK SC"/>
        <family val="2"/>
      </rPr>
      <t xml:space="preserve">株式会社  </t>
    </r>
    <r>
      <rPr>
        <sz val="10"/>
        <color rgb="FF1E293B"/>
        <rFont val="Meiryo UI"/>
        <family val="3"/>
        <charset val="128"/>
      </rPr>
      <t>/  2026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4</t>
    </r>
    <r>
      <rPr>
        <sz val="10"/>
        <color rgb="FF1E293B"/>
        <rFont val="Noto Sans CJK SC"/>
        <family val="2"/>
      </rPr>
      <t>月</t>
    </r>
    <r>
      <rPr>
        <sz val="10"/>
        <color rgb="FF1E293B"/>
        <rFont val="Meiryo UI"/>
        <family val="3"/>
        <charset val="128"/>
      </rPr>
      <t>16</t>
    </r>
    <r>
      <rPr>
        <sz val="10"/>
        <color rgb="FF1E293B"/>
        <rFont val="Noto Sans CJK SC"/>
        <family val="2"/>
      </rPr>
      <t>日</t>
    </r>
  </si>
  <si>
    <t>目次</t>
  </si>
  <si>
    <r>
      <rPr>
        <b/>
        <sz val="10"/>
        <color rgb="FF2347A0"/>
        <rFont val="Meiryo UI"/>
        <family val="3"/>
        <charset val="128"/>
      </rPr>
      <t>01</t>
    </r>
    <r>
      <rPr>
        <b/>
        <sz val="10"/>
        <color rgb="FF2347A0"/>
        <rFont val="Noto Sans CJK SC"/>
        <family val="2"/>
      </rPr>
      <t>　エグゼクティブサマリー</t>
    </r>
  </si>
  <si>
    <t>主要KPI・課題ハイライト</t>
  </si>
  <si>
    <r>
      <rPr>
        <b/>
        <sz val="10"/>
        <color rgb="FF2347A0"/>
        <rFont val="Meiryo UI"/>
        <family val="3"/>
        <charset val="128"/>
      </rPr>
      <t>02</t>
    </r>
    <r>
      <rPr>
        <b/>
        <sz val="10"/>
        <color rgb="FF2347A0"/>
        <rFont val="Noto Sans CJK SC"/>
        <family val="2"/>
      </rPr>
      <t>　月別基本指標</t>
    </r>
  </si>
  <si>
    <t>月別セッション・ENG率・CV推移（最新月が上）</t>
  </si>
  <si>
    <r>
      <rPr>
        <b/>
        <sz val="10"/>
        <color rgb="FF2347A0"/>
        <rFont val="Meiryo UI"/>
        <family val="3"/>
        <charset val="128"/>
      </rPr>
      <t>03</t>
    </r>
    <r>
      <rPr>
        <b/>
        <sz val="10"/>
        <color rgb="FF2347A0"/>
        <rFont val="Noto Sans CJK SC"/>
        <family val="2"/>
      </rPr>
      <t>　月別</t>
    </r>
    <r>
      <rPr>
        <b/>
        <sz val="10"/>
        <color rgb="FF2347A0"/>
        <rFont val="Meiryo UI"/>
        <family val="3"/>
        <charset val="128"/>
      </rPr>
      <t>CV</t>
    </r>
    <r>
      <rPr>
        <b/>
        <sz val="10"/>
        <color rgb="FF2347A0"/>
        <rFont val="Noto Sans CJK SC"/>
        <family val="2"/>
      </rPr>
      <t>推移（統合）</t>
    </r>
  </si>
  <si>
    <r>
      <rPr>
        <sz val="9"/>
        <color rgb="FF3D4F80"/>
        <rFont val="Meiryo UI"/>
        <family val="3"/>
        <charset val="128"/>
      </rPr>
      <t>2021</t>
    </r>
    <r>
      <rPr>
        <sz val="9"/>
        <color rgb="FF3D4F80"/>
        <rFont val="Noto Sans CJK SC"/>
        <family val="2"/>
      </rPr>
      <t>年</t>
    </r>
    <r>
      <rPr>
        <sz val="9"/>
        <color rgb="FF3D4F80"/>
        <rFont val="Meiryo UI"/>
        <family val="3"/>
        <charset val="128"/>
      </rPr>
      <t>4</t>
    </r>
    <r>
      <rPr>
        <sz val="9"/>
        <color rgb="FF3D4F80"/>
        <rFont val="Noto Sans CJK SC"/>
        <family val="2"/>
      </rPr>
      <t>月〜</t>
    </r>
    <r>
      <rPr>
        <sz val="9"/>
        <color rgb="FF3D4F80"/>
        <rFont val="Meiryo UI"/>
        <family val="3"/>
        <charset val="128"/>
      </rPr>
      <t>2026</t>
    </r>
    <r>
      <rPr>
        <sz val="9"/>
        <color rgb="FF3D4F80"/>
        <rFont val="Noto Sans CJK SC"/>
        <family val="2"/>
      </rPr>
      <t>年</t>
    </r>
    <r>
      <rPr>
        <sz val="9"/>
        <color rgb="FF3D4F80"/>
        <rFont val="Meiryo UI"/>
        <family val="3"/>
        <charset val="128"/>
      </rPr>
      <t>3</t>
    </r>
    <r>
      <rPr>
        <sz val="9"/>
        <color rgb="FF3D4F80"/>
        <rFont val="Noto Sans CJK SC"/>
        <family val="2"/>
      </rPr>
      <t>月 全</t>
    </r>
    <r>
      <rPr>
        <sz val="9"/>
        <color rgb="FF3D4F80"/>
        <rFont val="Meiryo UI"/>
        <family val="3"/>
        <charset val="128"/>
      </rPr>
      <t>CV</t>
    </r>
    <r>
      <rPr>
        <sz val="9"/>
        <color rgb="FF3D4F80"/>
        <rFont val="Noto Sans CJK SC"/>
        <family val="2"/>
      </rPr>
      <t>履歴（最新月が上）</t>
    </r>
  </si>
  <si>
    <r>
      <rPr>
        <b/>
        <sz val="10"/>
        <color rgb="FF2347A0"/>
        <rFont val="Meiryo UI"/>
        <family val="3"/>
        <charset val="128"/>
      </rPr>
      <t>04</t>
    </r>
    <r>
      <rPr>
        <b/>
        <sz val="10"/>
        <color rgb="FF2347A0"/>
        <rFont val="Noto Sans CJK SC"/>
        <family val="2"/>
      </rPr>
      <t>　コンバージョン一覧</t>
    </r>
  </si>
  <si>
    <r>
      <rPr>
        <sz val="9"/>
        <color rgb="FF3D4F80"/>
        <rFont val="Meiryo UI"/>
        <family val="3"/>
        <charset val="128"/>
      </rPr>
      <t>CV</t>
    </r>
    <r>
      <rPr>
        <sz val="9"/>
        <color rgb="FF3D4F80"/>
        <rFont val="Noto Sans CJK SC"/>
        <family val="2"/>
      </rPr>
      <t>種別・月別内訳（最新月が上）</t>
    </r>
  </si>
  <si>
    <r>
      <rPr>
        <b/>
        <sz val="10"/>
        <color rgb="FF2347A0"/>
        <rFont val="Meiryo UI"/>
        <family val="3"/>
        <charset val="128"/>
      </rPr>
      <t>05</t>
    </r>
    <r>
      <rPr>
        <b/>
        <sz val="10"/>
        <color rgb="FF2347A0"/>
        <rFont val="Noto Sans CJK SC"/>
        <family val="2"/>
      </rPr>
      <t>　逆算フロー（長期利用）</t>
    </r>
  </si>
  <si>
    <t>長期利用フォームのファネル分析</t>
  </si>
  <si>
    <r>
      <rPr>
        <b/>
        <sz val="10"/>
        <color rgb="FF2347A0"/>
        <rFont val="Meiryo UI"/>
        <family val="3"/>
        <charset val="128"/>
      </rPr>
      <t>06</t>
    </r>
    <r>
      <rPr>
        <b/>
        <sz val="10"/>
        <color rgb="FF2347A0"/>
        <rFont val="Noto Sans CJK SC"/>
        <family val="2"/>
      </rPr>
      <t>　集客チャネル</t>
    </r>
  </si>
  <si>
    <t>流入チャネル別 訪問者・CVR比較</t>
  </si>
  <si>
    <r>
      <rPr>
        <b/>
        <sz val="10"/>
        <color rgb="FF2347A0"/>
        <rFont val="Meiryo UI"/>
        <family val="3"/>
        <charset val="128"/>
      </rPr>
      <t>07</t>
    </r>
    <r>
      <rPr>
        <b/>
        <sz val="10"/>
        <color rgb="FF2347A0"/>
        <rFont val="Noto Sans CJK SC"/>
        <family val="2"/>
      </rPr>
      <t>　被リンク元（上位</t>
    </r>
    <r>
      <rPr>
        <b/>
        <sz val="10"/>
        <color rgb="FF2347A0"/>
        <rFont val="Meiryo UI"/>
        <family val="3"/>
        <charset val="128"/>
      </rPr>
      <t>30</t>
    </r>
    <r>
      <rPr>
        <b/>
        <sz val="10"/>
        <color rgb="FF2347A0"/>
        <rFont val="Noto Sans CJK SC"/>
        <family val="2"/>
      </rPr>
      <t>）</t>
    </r>
  </si>
  <si>
    <t>参照元サイト別 訪問者・CV</t>
  </si>
  <si>
    <r>
      <rPr>
        <b/>
        <sz val="10"/>
        <color rgb="FF2347A0"/>
        <rFont val="Meiryo UI"/>
        <family val="3"/>
        <charset val="128"/>
      </rPr>
      <t>08</t>
    </r>
    <r>
      <rPr>
        <b/>
        <sz val="10"/>
        <color rgb="FF2347A0"/>
        <rFont val="Noto Sans CJK SC"/>
        <family val="2"/>
      </rPr>
      <t>　ランディングページ（上位）</t>
    </r>
  </si>
  <si>
    <r>
      <rPr>
        <sz val="9"/>
        <color rgb="FF3D4F80"/>
        <rFont val="Meiryo UI"/>
        <family val="3"/>
        <charset val="128"/>
      </rPr>
      <t>LP</t>
    </r>
    <r>
      <rPr>
        <sz val="9"/>
        <color rgb="FF3D4F80"/>
        <rFont val="Noto Sans CJK SC"/>
        <family val="2"/>
      </rPr>
      <t>別 訪問者・</t>
    </r>
    <r>
      <rPr>
        <sz val="9"/>
        <color rgb="FF3D4F80"/>
        <rFont val="Meiryo UI"/>
        <family val="3"/>
        <charset val="128"/>
      </rPr>
      <t>ENG</t>
    </r>
    <r>
      <rPr>
        <sz val="9"/>
        <color rgb="FF3D4F80"/>
        <rFont val="Noto Sans CJK SC"/>
        <family val="2"/>
      </rPr>
      <t>率・</t>
    </r>
    <r>
      <rPr>
        <sz val="9"/>
        <color rgb="FF3D4F80"/>
        <rFont val="Meiryo UI"/>
        <family val="3"/>
        <charset val="128"/>
      </rPr>
      <t>CV</t>
    </r>
  </si>
  <si>
    <r>
      <rPr>
        <b/>
        <sz val="10"/>
        <color rgb="FF2347A0"/>
        <rFont val="Meiryo UI"/>
        <family val="3"/>
        <charset val="128"/>
      </rPr>
      <t>09</t>
    </r>
    <r>
      <rPr>
        <b/>
        <sz val="10"/>
        <color rgb="FF2347A0"/>
        <rFont val="Noto Sans CJK SC"/>
        <family val="2"/>
      </rPr>
      <t>　ページ別（上位）</t>
    </r>
  </si>
  <si>
    <t>ページ別 PV・ENG率・滞在時間</t>
  </si>
  <si>
    <r>
      <rPr>
        <b/>
        <sz val="10"/>
        <color rgb="FF2347A0"/>
        <rFont val="Meiryo UI"/>
        <family val="3"/>
        <charset val="128"/>
      </rPr>
      <t>10</t>
    </r>
    <r>
      <rPr>
        <b/>
        <sz val="10"/>
        <color rgb="FF2347A0"/>
        <rFont val="Noto Sans CJK SC"/>
        <family val="2"/>
      </rPr>
      <t>　ページ分類別</t>
    </r>
  </si>
  <si>
    <t>ディレクトリ別 PV集計</t>
  </si>
  <si>
    <r>
      <rPr>
        <b/>
        <sz val="10"/>
        <color rgb="FF2347A0"/>
        <rFont val="Meiryo UI"/>
        <family val="3"/>
        <charset val="128"/>
      </rPr>
      <t>11</t>
    </r>
    <r>
      <rPr>
        <b/>
        <sz val="10"/>
        <color rgb="FF2347A0"/>
        <rFont val="Noto Sans CJK SC"/>
        <family val="2"/>
      </rPr>
      <t>　ユーザー属性</t>
    </r>
  </si>
  <si>
    <t>デバイス・地域・性別・年齢</t>
  </si>
  <si>
    <r>
      <rPr>
        <b/>
        <sz val="10"/>
        <color rgb="FF2347A0"/>
        <rFont val="Meiryo UI"/>
        <family val="3"/>
        <charset val="128"/>
      </rPr>
      <t>12</t>
    </r>
    <r>
      <rPr>
        <b/>
        <sz val="10"/>
        <color rgb="FF2347A0"/>
        <rFont val="Noto Sans CJK SC"/>
        <family val="2"/>
      </rPr>
      <t>　曜日・時間帯別</t>
    </r>
  </si>
  <si>
    <r>
      <rPr>
        <sz val="9"/>
        <color rgb="FF3D4F80"/>
        <rFont val="Meiryo UI"/>
        <family val="3"/>
        <charset val="128"/>
      </rPr>
      <t>CV</t>
    </r>
    <r>
      <rPr>
        <sz val="9"/>
        <color rgb="FF3D4F80"/>
        <rFont val="Noto Sans CJK SC"/>
        <family val="2"/>
      </rPr>
      <t>発生パターン分析</t>
    </r>
  </si>
  <si>
    <r>
      <rPr>
        <b/>
        <sz val="10"/>
        <color rgb="FF2347A0"/>
        <rFont val="Meiryo UI"/>
        <family val="3"/>
        <charset val="128"/>
      </rPr>
      <t>13</t>
    </r>
    <r>
      <rPr>
        <b/>
        <sz val="10"/>
        <color rgb="FF2347A0"/>
        <rFont val="Noto Sans CJK SC"/>
        <family val="2"/>
      </rPr>
      <t>　改善提案アクションプラン</t>
    </r>
  </si>
  <si>
    <r>
      <rPr>
        <sz val="9"/>
        <color rgb="FF3D4F80"/>
        <rFont val="Meiryo UI"/>
        <family val="3"/>
        <charset val="128"/>
      </rPr>
      <t>4</t>
    </r>
    <r>
      <rPr>
        <sz val="9"/>
        <color rgb="FF3D4F80"/>
        <rFont val="Noto Sans CJK SC"/>
        <family val="2"/>
      </rPr>
      <t>軸</t>
    </r>
    <r>
      <rPr>
        <sz val="9"/>
        <color rgb="FF3D4F80"/>
        <rFont val="Meiryo UI"/>
        <family val="3"/>
        <charset val="128"/>
      </rPr>
      <t>16</t>
    </r>
    <r>
      <rPr>
        <sz val="9"/>
        <color rgb="FF3D4F80"/>
        <rFont val="Noto Sans CJK SC"/>
        <family val="2"/>
      </rPr>
      <t>施策・ロードマップ・</t>
    </r>
    <r>
      <rPr>
        <sz val="9"/>
        <color rgb="FF3D4F80"/>
        <rFont val="Meiryo UI"/>
        <family val="3"/>
        <charset val="128"/>
      </rPr>
      <t>KPI</t>
    </r>
    <r>
      <rPr>
        <sz val="9"/>
        <color rgb="FF3D4F80"/>
        <rFont val="Noto Sans CJK SC"/>
        <family val="2"/>
      </rPr>
      <t>目標</t>
    </r>
  </si>
  <si>
    <t>エグゼクティブサマリー  —  2025年度通期</t>
  </si>
  <si>
    <t>■  年間主要KPI</t>
  </si>
  <si>
    <t>指標</t>
  </si>
  <si>
    <t>値</t>
  </si>
  <si>
    <t>補足</t>
  </si>
  <si>
    <t>—</t>
  </si>
  <si>
    <t>ユーザー数</t>
  </si>
  <si>
    <t>新規 89.2%</t>
  </si>
  <si>
    <t>ページビュー数</t>
  </si>
  <si>
    <t>エンゲージメント率</t>
  </si>
  <si>
    <t>61.72%</t>
  </si>
  <si>
    <r>
      <rPr>
        <b/>
        <sz val="10"/>
        <color rgb="FF2347A0"/>
        <rFont val="Meiryo UI"/>
        <family val="3"/>
        <charset val="128"/>
      </rPr>
      <t>CV</t>
    </r>
    <r>
      <rPr>
        <b/>
        <sz val="10"/>
        <color rgb="FF2347A0"/>
        <rFont val="Noto Sans CJK SC"/>
        <family val="2"/>
      </rPr>
      <t>総数（全種）</t>
    </r>
  </si>
  <si>
    <t>長期利用お問い合わせ</t>
  </si>
  <si>
    <t>★ 最重要KPI・4年間横ばい</t>
  </si>
  <si>
    <r>
      <rPr>
        <b/>
        <sz val="10"/>
        <color rgb="FF2347A0"/>
        <rFont val="Meiryo UI"/>
        <family val="3"/>
        <charset val="128"/>
      </rPr>
      <t>CVR</t>
    </r>
    <r>
      <rPr>
        <b/>
        <sz val="10"/>
        <color rgb="FF2347A0"/>
        <rFont val="Noto Sans CJK SC"/>
        <family val="2"/>
      </rPr>
      <t>（全体）</t>
    </r>
  </si>
  <si>
    <t>セッション比</t>
  </si>
  <si>
    <t>■  年度別CV推移（法人お問い合わせ：最重要KPI）</t>
  </si>
  <si>
    <t>年度</t>
  </si>
  <si>
    <t>法人お問合せ（長期）</t>
  </si>
  <si>
    <t>マンスリーお問合せ</t>
  </si>
  <si>
    <t>デジタルパンフ他</t>
  </si>
  <si>
    <t>合計CV</t>
  </si>
  <si>
    <t>備考</t>
  </si>
  <si>
    <r>
      <rPr>
        <sz val="10"/>
        <color rgb="FF1E293B"/>
        <rFont val="Meiryo UI"/>
        <family val="3"/>
        <charset val="128"/>
      </rPr>
      <t>2021</t>
    </r>
    <r>
      <rPr>
        <sz val="10"/>
        <color rgb="FF1E293B"/>
        <rFont val="Noto Sans CJK SC"/>
        <family val="2"/>
      </rPr>
      <t>年度（参考）</t>
    </r>
  </si>
  <si>
    <t>旧UA指標・参考値</t>
  </si>
  <si>
    <r>
      <rPr>
        <sz val="10"/>
        <color rgb="FF1E293B"/>
        <rFont val="Meiryo UI"/>
        <family val="3"/>
        <charset val="128"/>
      </rPr>
      <t>2022</t>
    </r>
    <r>
      <rPr>
        <sz val="10"/>
        <color rgb="FF1E293B"/>
        <rFont val="Noto Sans CJK SC"/>
        <family val="2"/>
      </rPr>
      <t>年度（参考）</t>
    </r>
  </si>
  <si>
    <r>
      <rPr>
        <sz val="10"/>
        <color rgb="FF1E293B"/>
        <rFont val="Meiryo UI"/>
        <family val="3"/>
        <charset val="128"/>
      </rPr>
      <t>2023</t>
    </r>
    <r>
      <rPr>
        <sz val="10"/>
        <color rgb="FF1E293B"/>
        <rFont val="Noto Sans CJK SC"/>
        <family val="2"/>
      </rPr>
      <t>年度</t>
    </r>
  </si>
  <si>
    <r>
      <rPr>
        <sz val="10"/>
        <color rgb="FF1E293B"/>
        <rFont val="Meiryo UI"/>
        <family val="3"/>
        <charset val="128"/>
      </rPr>
      <t>GA4</t>
    </r>
    <r>
      <rPr>
        <sz val="10"/>
        <color rgb="FF1E293B"/>
        <rFont val="Noto Sans CJK SC"/>
        <family val="2"/>
      </rPr>
      <t>移行・指標整備</t>
    </r>
  </si>
  <si>
    <r>
      <rPr>
        <sz val="10"/>
        <color rgb="FF1E293B"/>
        <rFont val="Meiryo UI"/>
        <family val="3"/>
        <charset val="128"/>
      </rPr>
      <t>2024</t>
    </r>
    <r>
      <rPr>
        <sz val="10"/>
        <color rgb="FF1E293B"/>
        <rFont val="Noto Sans CJK SC"/>
        <family val="2"/>
      </rPr>
      <t>年度</t>
    </r>
  </si>
  <si>
    <t>法人マンスリーLP追加</t>
  </si>
  <si>
    <r>
      <rPr>
        <sz val="10"/>
        <color rgb="FF1E293B"/>
        <rFont val="Meiryo UI"/>
        <family val="3"/>
        <charset val="128"/>
      </rPr>
      <t>2025</t>
    </r>
    <r>
      <rPr>
        <sz val="10"/>
        <color rgb="FF1E293B"/>
        <rFont val="Noto Sans CJK SC"/>
        <family val="2"/>
      </rPr>
      <t>年度（今期）</t>
    </r>
  </si>
  <si>
    <r>
      <rPr>
        <sz val="10"/>
        <color rgb="FF3D4F80"/>
        <rFont val="Meiryo UI"/>
        <family val="3"/>
        <charset val="128"/>
      </rPr>
      <t>GA4</t>
    </r>
    <r>
      <rPr>
        <sz val="10"/>
        <color rgb="FF3D4F80"/>
        <rFont val="Noto Sans CJK SC"/>
        <family val="2"/>
      </rPr>
      <t>再整理</t>
    </r>
  </si>
  <si>
    <t>■  課題ハイライト</t>
  </si>
  <si>
    <t>区分</t>
  </si>
  <si>
    <t>内容</t>
  </si>
  <si>
    <t>最重要課題</t>
  </si>
  <si>
    <t>法人お問い合わせ（長期利用）は4年間で月20〜85件と横ばい。フォーム到達率0.28%（8,420回/2,989,127セッション）が根本ボトルネック。サイト全体が成長する中、最優先KPIだけが置き去りになっている構造的課題。</t>
  </si>
  <si>
    <t>成長要因</t>
  </si>
  <si>
    <t>マンスリーお問い合わせが2023年以降急増し2026年3月で月315件。リスティング広告CVRが0.33%と最高チャネル。/lp/longstay/ が年間12.8万人流入・498CV獲得で最重要LP。</t>
  </si>
  <si>
    <t>構造的機会</t>
  </si>
  <si>
    <t>建設業・金融業（異動・臨店）の人事・総務向けページ（dormybiz.com/service/）から長期利用フォームへの導線が弱い。nomadormy.comへ年間19,911クリック流出。火〜木・9〜17時にCV65%集中→入札最適化余地大。</t>
  </si>
  <si>
    <t>月別基本指標  —  2025年度通期（最新月が上）</t>
  </si>
  <si>
    <t>【データソース統合】　2025年4月〜11月：CV目標推移.xlsx の旧計測データを使用（旧指標での合算CV）。2025年12月以降：GA4 再整理後の新計測データを使用。指標変更により GA4 新データでは2025年4〜11月が0〜6件と実態と大きく乖離するため、正確な推移把握のため両データを統合しています。</t>
  </si>
  <si>
    <t>年月</t>
  </si>
  <si>
    <r>
      <rPr>
        <b/>
        <sz val="9"/>
        <color rgb="FFFFFFFF"/>
        <rFont val="Meiryo UI"/>
        <family val="3"/>
        <charset val="128"/>
      </rPr>
      <t>PV</t>
    </r>
    <r>
      <rPr>
        <b/>
        <sz val="9"/>
        <color rgb="FFFFFFFF"/>
        <rFont val="Noto Sans CJK SC"/>
        <family val="2"/>
      </rPr>
      <t>数</t>
    </r>
  </si>
  <si>
    <r>
      <rPr>
        <b/>
        <sz val="9"/>
        <color rgb="FFFFFFFF"/>
        <rFont val="Meiryo UI"/>
        <family val="3"/>
        <charset val="128"/>
      </rPr>
      <t>PV/</t>
    </r>
    <r>
      <rPr>
        <b/>
        <sz val="9"/>
        <color rgb="FFFFFFFF"/>
        <rFont val="Noto Sans CJK SC"/>
        <family val="2"/>
      </rPr>
      <t>セッション</t>
    </r>
  </si>
  <si>
    <r>
      <rPr>
        <b/>
        <sz val="9"/>
        <color rgb="FFFFFFFF"/>
        <rFont val="Meiryo UI"/>
        <family val="3"/>
        <charset val="128"/>
      </rPr>
      <t>ENG</t>
    </r>
    <r>
      <rPr>
        <b/>
        <sz val="9"/>
        <color rgb="FFFFFFFF"/>
        <rFont val="Noto Sans CJK SC"/>
        <family val="2"/>
      </rPr>
      <t>率</t>
    </r>
  </si>
  <si>
    <r>
      <rPr>
        <b/>
        <sz val="9"/>
        <color rgb="FFFFFFFF"/>
        <rFont val="Meiryo UI"/>
        <family val="3"/>
        <charset val="128"/>
      </rPr>
      <t>CV</t>
    </r>
    <r>
      <rPr>
        <b/>
        <sz val="9"/>
        <color rgb="FFFFFFFF"/>
        <rFont val="Noto Sans CJK SC"/>
        <family val="2"/>
      </rPr>
      <t>数</t>
    </r>
  </si>
  <si>
    <t>CVR</t>
  </si>
  <si>
    <t>データソース</t>
  </si>
  <si>
    <r>
      <rPr>
        <sz val="10"/>
        <color rgb="FF1E293B"/>
        <rFont val="Meiryo UI"/>
        <family val="3"/>
        <charset val="128"/>
      </rPr>
      <t>2026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03</t>
    </r>
    <r>
      <rPr>
        <sz val="10"/>
        <color rgb="FF1E293B"/>
        <rFont val="Noto Sans CJK SC"/>
        <family val="2"/>
      </rPr>
      <t>月</t>
    </r>
  </si>
  <si>
    <t>69.40%</t>
  </si>
  <si>
    <r>
      <rPr>
        <sz val="9"/>
        <color rgb="FF3D4F80"/>
        <rFont val="Meiryo UI"/>
        <family val="3"/>
        <charset val="128"/>
      </rPr>
      <t>GA4</t>
    </r>
    <r>
      <rPr>
        <sz val="9"/>
        <color rgb="FF3D4F80"/>
        <rFont val="Noto Sans CJK SC"/>
        <family val="2"/>
      </rPr>
      <t>（新指標）</t>
    </r>
  </si>
  <si>
    <r>
      <rPr>
        <sz val="10"/>
        <color rgb="FF1E293B"/>
        <rFont val="Meiryo UI"/>
        <family val="3"/>
        <charset val="128"/>
      </rPr>
      <t>2026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02</t>
    </r>
    <r>
      <rPr>
        <sz val="10"/>
        <color rgb="FF1E293B"/>
        <rFont val="Noto Sans CJK SC"/>
        <family val="2"/>
      </rPr>
      <t>月</t>
    </r>
  </si>
  <si>
    <t>70.95%</t>
  </si>
  <si>
    <r>
      <rPr>
        <sz val="10"/>
        <color rgb="FF1E293B"/>
        <rFont val="Meiryo UI"/>
        <family val="3"/>
        <charset val="128"/>
      </rPr>
      <t>2026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01</t>
    </r>
    <r>
      <rPr>
        <sz val="10"/>
        <color rgb="FF1E293B"/>
        <rFont val="Noto Sans CJK SC"/>
        <family val="2"/>
      </rPr>
      <t>月</t>
    </r>
  </si>
  <si>
    <t>54.76%</t>
  </si>
  <si>
    <r>
      <rPr>
        <sz val="10"/>
        <color rgb="FF1E293B"/>
        <rFont val="Meiryo UI"/>
        <family val="3"/>
        <charset val="128"/>
      </rPr>
      <t>2025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12</t>
    </r>
    <r>
      <rPr>
        <sz val="10"/>
        <color rgb="FF1E293B"/>
        <rFont val="Noto Sans CJK SC"/>
        <family val="2"/>
      </rPr>
      <t>月</t>
    </r>
  </si>
  <si>
    <t>42.69%</t>
  </si>
  <si>
    <r>
      <rPr>
        <sz val="9"/>
        <color rgb="FF3D4F80"/>
        <rFont val="Meiryo UI"/>
        <family val="3"/>
        <charset val="128"/>
      </rPr>
      <t>CV</t>
    </r>
    <r>
      <rPr>
        <sz val="9"/>
        <color rgb="FF3D4F80"/>
        <rFont val="Noto Sans CJK SC"/>
        <family val="2"/>
      </rPr>
      <t>目標推移</t>
    </r>
    <r>
      <rPr>
        <sz val="9"/>
        <color rgb="FF3D4F80"/>
        <rFont val="Meiryo UI"/>
        <family val="3"/>
        <charset val="128"/>
      </rPr>
      <t>.xlsx</t>
    </r>
    <r>
      <rPr>
        <sz val="9"/>
        <color rgb="FF3D4F80"/>
        <rFont val="Noto Sans CJK SC"/>
        <family val="2"/>
      </rPr>
      <t>＋</t>
    </r>
    <r>
      <rPr>
        <sz val="9"/>
        <color rgb="FF3D4F80"/>
        <rFont val="Meiryo UI"/>
        <family val="3"/>
        <charset val="128"/>
      </rPr>
      <t>GA4</t>
    </r>
    <r>
      <rPr>
        <sz val="9"/>
        <color rgb="FF3D4F80"/>
        <rFont val="Noto Sans CJK SC"/>
        <family val="2"/>
      </rPr>
      <t>混在</t>
    </r>
  </si>
  <si>
    <r>
      <rPr>
        <sz val="10"/>
        <color rgb="FF1E293B"/>
        <rFont val="Meiryo UI"/>
        <family val="3"/>
        <charset val="128"/>
      </rPr>
      <t>2025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11</t>
    </r>
    <r>
      <rPr>
        <sz val="10"/>
        <color rgb="FF1E293B"/>
        <rFont val="Noto Sans CJK SC"/>
        <family val="2"/>
      </rPr>
      <t>月</t>
    </r>
  </si>
  <si>
    <t>60.49%</t>
  </si>
  <si>
    <r>
      <rPr>
        <sz val="9"/>
        <color rgb="FF3D4F80"/>
        <rFont val="Meiryo UI"/>
        <family val="3"/>
        <charset val="128"/>
      </rPr>
      <t>CV</t>
    </r>
    <r>
      <rPr>
        <sz val="9"/>
        <color rgb="FF3D4F80"/>
        <rFont val="Noto Sans CJK SC"/>
        <family val="2"/>
      </rPr>
      <t>目標推移</t>
    </r>
    <r>
      <rPr>
        <sz val="9"/>
        <color rgb="FF3D4F80"/>
        <rFont val="Meiryo UI"/>
        <family val="3"/>
        <charset val="128"/>
      </rPr>
      <t>.xlsx</t>
    </r>
  </si>
  <si>
    <r>
      <rPr>
        <sz val="10"/>
        <color rgb="FF1E293B"/>
        <rFont val="Meiryo UI"/>
        <family val="3"/>
        <charset val="128"/>
      </rPr>
      <t>2025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10</t>
    </r>
    <r>
      <rPr>
        <sz val="10"/>
        <color rgb="FF1E293B"/>
        <rFont val="Noto Sans CJK SC"/>
        <family val="2"/>
      </rPr>
      <t>月</t>
    </r>
  </si>
  <si>
    <t>70.68%</t>
  </si>
  <si>
    <r>
      <rPr>
        <sz val="10"/>
        <color rgb="FF1E293B"/>
        <rFont val="Meiryo UI"/>
        <family val="3"/>
        <charset val="128"/>
      </rPr>
      <t>2025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09</t>
    </r>
    <r>
      <rPr>
        <sz val="10"/>
        <color rgb="FF1E293B"/>
        <rFont val="Noto Sans CJK SC"/>
        <family val="2"/>
      </rPr>
      <t>月</t>
    </r>
  </si>
  <si>
    <t>68.59%</t>
  </si>
  <si>
    <r>
      <rPr>
        <sz val="10"/>
        <color rgb="FF1E293B"/>
        <rFont val="Meiryo UI"/>
        <family val="3"/>
        <charset val="128"/>
      </rPr>
      <t>2025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08</t>
    </r>
    <r>
      <rPr>
        <sz val="10"/>
        <color rgb="FF1E293B"/>
        <rFont val="Noto Sans CJK SC"/>
        <family val="2"/>
      </rPr>
      <t>月</t>
    </r>
  </si>
  <si>
    <t>68.40%</t>
  </si>
  <si>
    <r>
      <rPr>
        <sz val="10"/>
        <color rgb="FF1E293B"/>
        <rFont val="Meiryo UI"/>
        <family val="3"/>
        <charset val="128"/>
      </rPr>
      <t>2025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07</t>
    </r>
    <r>
      <rPr>
        <sz val="10"/>
        <color rgb="FF1E293B"/>
        <rFont val="Noto Sans CJK SC"/>
        <family val="2"/>
      </rPr>
      <t>月</t>
    </r>
  </si>
  <si>
    <t>69.51%</t>
  </si>
  <si>
    <r>
      <rPr>
        <sz val="10"/>
        <color rgb="FF1E293B"/>
        <rFont val="Meiryo UI"/>
        <family val="3"/>
        <charset val="128"/>
      </rPr>
      <t>2025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06</t>
    </r>
    <r>
      <rPr>
        <sz val="10"/>
        <color rgb="FF1E293B"/>
        <rFont val="Noto Sans CJK SC"/>
        <family val="2"/>
      </rPr>
      <t>月</t>
    </r>
  </si>
  <si>
    <t>61.62%</t>
  </si>
  <si>
    <r>
      <rPr>
        <sz val="10"/>
        <color rgb="FF1E293B"/>
        <rFont val="Meiryo UI"/>
        <family val="3"/>
        <charset val="128"/>
      </rPr>
      <t>2025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05</t>
    </r>
    <r>
      <rPr>
        <sz val="10"/>
        <color rgb="FF1E293B"/>
        <rFont val="Noto Sans CJK SC"/>
        <family val="2"/>
      </rPr>
      <t>月</t>
    </r>
  </si>
  <si>
    <t>69.13%</t>
  </si>
  <si>
    <r>
      <rPr>
        <sz val="10"/>
        <color rgb="FF1E293B"/>
        <rFont val="Meiryo UI"/>
        <family val="3"/>
        <charset val="128"/>
      </rPr>
      <t>2025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04</t>
    </r>
    <r>
      <rPr>
        <sz val="10"/>
        <color rgb="FF1E293B"/>
        <rFont val="Noto Sans CJK SC"/>
        <family val="2"/>
      </rPr>
      <t>月</t>
    </r>
  </si>
  <si>
    <t>71.28%</t>
  </si>
  <si>
    <r>
      <rPr>
        <sz val="10"/>
        <color rgb="FF1E293B"/>
        <rFont val="Meiryo UI"/>
        <family val="3"/>
        <charset val="128"/>
      </rPr>
      <t>2025</t>
    </r>
    <r>
      <rPr>
        <sz val="10"/>
        <color rgb="FF1E293B"/>
        <rFont val="Noto Sans CJK SC"/>
        <family val="2"/>
      </rPr>
      <t>年</t>
    </r>
    <r>
      <rPr>
        <sz val="10"/>
        <color rgb="FF1E293B"/>
        <rFont val="Meiryo UI"/>
        <family val="3"/>
        <charset val="128"/>
      </rPr>
      <t>03</t>
    </r>
    <r>
      <rPr>
        <sz val="10"/>
        <color rgb="FF1E293B"/>
        <rFont val="Noto Sans CJK SC"/>
        <family val="2"/>
      </rPr>
      <t>月（参考）</t>
    </r>
  </si>
  <si>
    <t>69.68%</t>
  </si>
  <si>
    <t>合計/平均</t>
  </si>
  <si>
    <t>統合データ</t>
  </si>
  <si>
    <t>凡例</t>
  </si>
  <si>
    <t>白背景 = GA4新指標（2026年1〜3月）</t>
  </si>
  <si>
    <t>薄黄背景 = CV目標推移.xlsx旧指標（2025年4〜11月）</t>
  </si>
  <si>
    <t>薄青背景 = 旧・新混在（2025年12月）</t>
  </si>
  <si>
    <t>【参考】GA4新指標のみの2025年4〜11月CV数（実態より大幅に少ない）：4・2・6・6・4・0・2・6件（合計 30件）
CV目標推移.xlsxの同期間合計：129+192+196+261+195+263+252+241 = 1,729件　← 本シートはこちらを採用</t>
  </si>
  <si>
    <t>月別CV推移（統合）  —  2021年4月〜2026年3月（最新月が上）</t>
  </si>
  <si>
    <r>
      <rPr>
        <sz val="8"/>
        <color rgb="FF92600A"/>
        <rFont val="Meiryo UI"/>
        <family val="3"/>
        <charset val="128"/>
      </rPr>
      <t>※ 2023</t>
    </r>
    <r>
      <rPr>
        <sz val="8"/>
        <color rgb="FF92600A"/>
        <rFont val="Noto Sans CJK SC"/>
        <family val="2"/>
      </rPr>
      <t>年</t>
    </r>
    <r>
      <rPr>
        <sz val="8"/>
        <color rgb="FF92600A"/>
        <rFont val="Meiryo UI"/>
        <family val="3"/>
        <charset val="128"/>
      </rPr>
      <t>5</t>
    </r>
    <r>
      <rPr>
        <sz val="8"/>
        <color rgb="FF92600A"/>
        <rFont val="Noto Sans CJK SC"/>
        <family val="2"/>
      </rPr>
      <t xml:space="preserve">月：マンスリーお問い合わせ計測追加　※ </t>
    </r>
    <r>
      <rPr>
        <sz val="8"/>
        <color rgb="FF92600A"/>
        <rFont val="Meiryo UI"/>
        <family val="3"/>
        <charset val="128"/>
      </rPr>
      <t>2023</t>
    </r>
    <r>
      <rPr>
        <sz val="8"/>
        <color rgb="FF92600A"/>
        <rFont val="Noto Sans CJK SC"/>
        <family val="2"/>
      </rPr>
      <t>年</t>
    </r>
    <r>
      <rPr>
        <sz val="8"/>
        <color rgb="FF92600A"/>
        <rFont val="Meiryo UI"/>
        <family val="3"/>
        <charset val="128"/>
      </rPr>
      <t>10</t>
    </r>
    <r>
      <rPr>
        <sz val="8"/>
        <color rgb="FF92600A"/>
        <rFont val="Noto Sans CJK SC"/>
        <family val="2"/>
      </rPr>
      <t>月：法人マンスリー</t>
    </r>
    <r>
      <rPr>
        <sz val="8"/>
        <color rgb="FF92600A"/>
        <rFont val="Meiryo UI"/>
        <family val="3"/>
        <charset val="128"/>
      </rPr>
      <t>LP</t>
    </r>
    <r>
      <rPr>
        <sz val="8"/>
        <color rgb="FF92600A"/>
        <rFont val="Noto Sans CJK SC"/>
        <family val="2"/>
      </rPr>
      <t xml:space="preserve">追加　※ </t>
    </r>
    <r>
      <rPr>
        <sz val="8"/>
        <color rgb="FF92600A"/>
        <rFont val="Meiryo UI"/>
        <family val="3"/>
        <charset val="128"/>
      </rPr>
      <t>2025</t>
    </r>
    <r>
      <rPr>
        <sz val="8"/>
        <color rgb="FF92600A"/>
        <rFont val="Noto Sans CJK SC"/>
        <family val="2"/>
      </rPr>
      <t>年</t>
    </r>
    <r>
      <rPr>
        <sz val="8"/>
        <color rgb="FF92600A"/>
        <rFont val="Meiryo UI"/>
        <family val="3"/>
        <charset val="128"/>
      </rPr>
      <t>12</t>
    </r>
    <r>
      <rPr>
        <sz val="8"/>
        <color rgb="FF92600A"/>
        <rFont val="Noto Sans CJK SC"/>
        <family val="2"/>
      </rPr>
      <t>月：</t>
    </r>
    <r>
      <rPr>
        <sz val="8"/>
        <color rgb="FF92600A"/>
        <rFont val="Meiryo UI"/>
        <family val="3"/>
        <charset val="128"/>
      </rPr>
      <t>GA4</t>
    </r>
    <r>
      <rPr>
        <sz val="8"/>
        <color rgb="FF92600A"/>
        <rFont val="Noto Sans CJK SC"/>
        <family val="2"/>
      </rPr>
      <t>指標再整理（青背景）</t>
    </r>
  </si>
  <si>
    <t>資料DL</t>
  </si>
  <si>
    <t>デジタルパンフ</t>
  </si>
  <si>
    <t>セミナー</t>
  </si>
  <si>
    <t>見学予約</t>
  </si>
  <si>
    <t>法人マンスリーLP</t>
  </si>
  <si>
    <t>長期契約LP</t>
  </si>
  <si>
    <r>
      <rPr>
        <b/>
        <sz val="10"/>
        <color rgb="FF2347A0"/>
        <rFont val="Meiryo UI"/>
        <family val="3"/>
        <charset val="128"/>
      </rPr>
      <t>2026-03</t>
    </r>
    <r>
      <rPr>
        <b/>
        <sz val="10"/>
        <color rgb="FF2347A0"/>
        <rFont val="Noto Sans CJK SC"/>
        <family val="2"/>
      </rPr>
      <t>（速報）</t>
    </r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</si>
  <si>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</si>
  <si>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</si>
  <si>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</si>
  <si>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</si>
  <si>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</si>
  <si>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</si>
  <si>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</si>
  <si>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</si>
  <si>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</si>
  <si>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</si>
  <si>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</si>
  <si>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</si>
  <si>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</si>
  <si>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</si>
  <si>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</si>
  <si>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</si>
  <si>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</si>
  <si>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</si>
  <si>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</si>
  <si>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</si>
  <si>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</si>
  <si>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</si>
  <si>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</si>
  <si>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</si>
  <si>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</si>
  <si>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</si>
  <si>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</si>
  <si>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</si>
  <si>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</si>
  <si>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</si>
  <si>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</si>
  <si>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</si>
  <si>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</si>
  <si>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</si>
  <si>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</si>
  <si>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</si>
  <si>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</si>
  <si>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</si>
  <si>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</si>
  <si>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</si>
  <si>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</si>
  <si>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</si>
  <si>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</si>
  <si>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</si>
  <si>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</si>
  <si>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</si>
  <si>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</si>
  <si>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</si>
  <si>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</si>
  <si>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</si>
  <si>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</si>
  <si>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</si>
  <si>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</si>
  <si>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合計</t>
  </si>
  <si>
    <t>コンバージョン一覧  —  2025年度通期（最新月が上）</t>
  </si>
  <si>
    <t>【データソース統合】2025年4〜11月：CV目標推移.xlsx旧指標（法人お問合せ→長期利用、マンスリーお問合せ、デジタルパンフ、資料DL等の旧Goal値を新指標名にマッピング）。2025年12月〜：GA4新指標。</t>
  </si>
  <si>
    <t>■  月別CV内訳（統合）</t>
  </si>
  <si>
    <t>月</t>
  </si>
  <si>
    <t>マンスリー
お問合せ</t>
  </si>
  <si>
    <t>長期利用
お問合せ</t>
  </si>
  <si>
    <t>デジタル
パンフ</t>
  </si>
  <si>
    <t>資料DL
まとめ</t>
  </si>
  <si>
    <t>法人
マンスリーLP</t>
  </si>
  <si>
    <t>長期
契約LP</t>
  </si>
  <si>
    <t>ソース</t>
  </si>
  <si>
    <t>GA4</t>
  </si>
  <si>
    <r>
      <rPr>
        <sz val="9"/>
        <color rgb="FF3D4F80"/>
        <rFont val="Meiryo UI"/>
        <family val="3"/>
        <charset val="128"/>
      </rPr>
      <t>GA4</t>
    </r>
    <r>
      <rPr>
        <sz val="9"/>
        <color rgb="FF3D4F80"/>
        <rFont val="Noto Sans CJK SC"/>
        <family val="2"/>
      </rPr>
      <t>＋旧混在</t>
    </r>
  </si>
  <si>
    <r>
      <rPr>
        <b/>
        <sz val="10"/>
        <color rgb="FF2347A0"/>
        <rFont val="Meiryo UI"/>
        <family val="3"/>
        <charset val="128"/>
      </rPr>
      <t>■  CV</t>
    </r>
    <r>
      <rPr>
        <b/>
        <sz val="10"/>
        <color rgb="FF2347A0"/>
        <rFont val="Noto Sans CJK SC"/>
        <family val="2"/>
      </rPr>
      <t>種別年間サマリー</t>
    </r>
  </si>
  <si>
    <r>
      <rPr>
        <b/>
        <sz val="9"/>
        <color rgb="FFFFFFFF"/>
        <rFont val="Meiryo UI"/>
        <family val="3"/>
        <charset val="128"/>
      </rPr>
      <t>CV</t>
    </r>
    <r>
      <rPr>
        <b/>
        <sz val="9"/>
        <color rgb="FFFFFFFF"/>
        <rFont val="Noto Sans CJK SC"/>
        <family val="2"/>
      </rPr>
      <t>イベント名</t>
    </r>
  </si>
  <si>
    <t>年間件数</t>
  </si>
  <si>
    <t>全体比率</t>
  </si>
  <si>
    <t>フォーム到達数</t>
  </si>
  <si>
    <t>フォーム→CV率</t>
  </si>
  <si>
    <t>優先度</t>
  </si>
  <si>
    <t>マンスリーのお問い合わせ</t>
  </si>
  <si>
    <t>中</t>
  </si>
  <si>
    <t>長期利用のお問い合わせ</t>
  </si>
  <si>
    <t>★ 最優先</t>
  </si>
  <si>
    <t>デジタルパンフレット</t>
  </si>
  <si>
    <t>補助</t>
  </si>
  <si>
    <r>
      <rPr>
        <sz val="10"/>
        <color rgb="FF1E293B"/>
        <rFont val="Meiryo UI"/>
        <family val="3"/>
        <charset val="128"/>
      </rPr>
      <t>CV_</t>
    </r>
    <r>
      <rPr>
        <sz val="10"/>
        <color rgb="FF1E293B"/>
        <rFont val="Noto Sans CJK SC"/>
        <family val="2"/>
      </rPr>
      <t>資料</t>
    </r>
    <r>
      <rPr>
        <sz val="10"/>
        <color rgb="FF1E293B"/>
        <rFont val="Meiryo UI"/>
        <family val="3"/>
        <charset val="128"/>
      </rPr>
      <t>DL</t>
    </r>
    <r>
      <rPr>
        <sz val="10"/>
        <color rgb="FF1E293B"/>
        <rFont val="Noto Sans CJK SC"/>
        <family val="2"/>
      </rPr>
      <t>まとめ</t>
    </r>
  </si>
  <si>
    <t>法人マンスリーLP経由</t>
  </si>
  <si>
    <t>参考</t>
  </si>
  <si>
    <t>資料DL_住宅補助制度</t>
  </si>
  <si>
    <t>資料DL_健康経営</t>
  </si>
  <si>
    <t>資料DL_社員寮借り上げ社宅</t>
  </si>
  <si>
    <t>資料DL_住居手配を効率化</t>
  </si>
  <si>
    <t>100.0%</t>
  </si>
  <si>
    <t>逆算フロー  —  長期利用お問い合わせ  /form/dormitory/</t>
  </si>
  <si>
    <t>■  年間ファネルサマリー</t>
  </si>
  <si>
    <t>STEP</t>
  </si>
  <si>
    <t>指標名</t>
  </si>
  <si>
    <t>数値</t>
  </si>
  <si>
    <t>前STEP比</t>
  </si>
  <si>
    <t>STEP 1</t>
  </si>
  <si>
    <t>サイト全体セッション（年間）</t>
  </si>
  <si>
    <t>STEP 2</t>
  </si>
  <si>
    <t>フォームページ到達（年間）</t>
  </si>
  <si>
    <t>到達率 0.28%</t>
  </si>
  <si>
    <t>STEP 3</t>
  </si>
  <si>
    <r>
      <rPr>
        <b/>
        <sz val="10"/>
        <color rgb="FF2347A0"/>
        <rFont val="Meiryo UI"/>
        <family val="3"/>
        <charset val="128"/>
      </rPr>
      <t>CV</t>
    </r>
    <r>
      <rPr>
        <b/>
        <sz val="10"/>
        <color rgb="FF2347A0"/>
        <rFont val="Noto Sans CJK SC"/>
        <family val="2"/>
      </rPr>
      <t>完了（フォーム送信）</t>
    </r>
  </si>
  <si>
    <t>フォーム→CV率 2.97%</t>
  </si>
  <si>
    <t>■  月別ファネル（最新月が上）</t>
  </si>
  <si>
    <t>到達率</t>
  </si>
  <si>
    <r>
      <rPr>
        <b/>
        <sz val="9"/>
        <color rgb="FFFFFFFF"/>
        <rFont val="Meiryo UI"/>
        <family val="3"/>
        <charset val="128"/>
      </rPr>
      <t>CV</t>
    </r>
    <r>
      <rPr>
        <b/>
        <sz val="9"/>
        <color rgb="FFFFFFFF"/>
        <rFont val="Noto Sans CJK SC"/>
        <family val="2"/>
      </rPr>
      <t>完了数</t>
    </r>
  </si>
  <si>
    <t>【インサイト】フォーム到達後のCV率は2026年3月で4.65%まで改善。ただし年間フォーム到達率0.28%はまだ大きな改善余地がある。フォーム到達後のCV率4〜5%もマンスリー（12%）と比べて低く、サービス訴求ページ（/service/）〜物件詳細〜フォームの動線強化が急務。</t>
  </si>
  <si>
    <t>集客チャネル  —  2025年度通期</t>
  </si>
  <si>
    <t>■  チャネル別 訪問者・CV・CVR</t>
  </si>
  <si>
    <t>チャネル</t>
  </si>
  <si>
    <t>訪問者数</t>
  </si>
  <si>
    <t>オーガニック検索</t>
  </si>
  <si>
    <t>ダイレクト</t>
  </si>
  <si>
    <t>リスティング広告</t>
  </si>
  <si>
    <t>参照元サイト</t>
  </si>
  <si>
    <t>Cross-network</t>
  </si>
  <si>
    <t>メール</t>
  </si>
  <si>
    <t>未分類</t>
  </si>
  <si>
    <t>オーガニックSNS</t>
  </si>
  <si>
    <t>ディスプレイ広告</t>
  </si>
  <si>
    <t>被リンク元  —  2025年度通期（上位30件）</t>
  </si>
  <si>
    <t>■  参照元サイト別 訪問者・CV・CVR（上位30）</t>
  </si>
  <si>
    <t>#</t>
  </si>
  <si>
    <t>参照元</t>
  </si>
  <si>
    <t>平均滞在時間</t>
  </si>
  <si>
    <t>コンバージョン</t>
  </si>
  <si>
    <t>dormybiz.com</t>
  </si>
  <si>
    <t>62.38%</t>
  </si>
  <si>
    <t>2:46</t>
  </si>
  <si>
    <t>0.01%</t>
  </si>
  <si>
    <t>dormy-ac.com</t>
  </si>
  <si>
    <t>79.13%</t>
  </si>
  <si>
    <t>5:54</t>
  </si>
  <si>
    <t>0.25%</t>
  </si>
  <si>
    <t>kyoritsugroup.co.jp</t>
  </si>
  <si>
    <t>79.49%</t>
  </si>
  <si>
    <t>5:23</t>
  </si>
  <si>
    <t>0.49%</t>
  </si>
  <si>
    <t>service.smt.docomo.ne.jp</t>
  </si>
  <si>
    <t>79.35%</t>
  </si>
  <si>
    <t>3:00</t>
  </si>
  <si>
    <t>0.20%</t>
  </si>
  <si>
    <t>dormy-hotels.com</t>
  </si>
  <si>
    <t>80.74%</t>
  </si>
  <si>
    <t>3:48</t>
  </si>
  <si>
    <t>talk.worksmobile.com</t>
  </si>
  <si>
    <t>69.38%</t>
  </si>
  <si>
    <t>8:46</t>
  </si>
  <si>
    <t>0.00%</t>
  </si>
  <si>
    <t>cc-foreigner.cybozu.com</t>
  </si>
  <si>
    <t>74.35%</t>
  </si>
  <si>
    <t>10:06</t>
  </si>
  <si>
    <t>mail.google.com</t>
  </si>
  <si>
    <t>67.58%</t>
  </si>
  <si>
    <t>6:24</t>
  </si>
  <si>
    <t>u-tokyo.ac.jp</t>
  </si>
  <si>
    <t>76.23%</t>
  </si>
  <si>
    <t>7:26</t>
  </si>
  <si>
    <t>resco.co.jp</t>
  </si>
  <si>
    <t>67.12%</t>
  </si>
  <si>
    <t>1:59</t>
  </si>
  <si>
    <t>ntp.msn.com</t>
  </si>
  <si>
    <t>75.41%</t>
  </si>
  <si>
    <t>11:49</t>
  </si>
  <si>
    <t>statics.teams.cdn.office.net</t>
  </si>
  <si>
    <t>73.37%</t>
  </si>
  <si>
    <t>6:30</t>
  </si>
  <si>
    <t>0.55%</t>
  </si>
  <si>
    <t>nomadormy.com</t>
  </si>
  <si>
    <t>67.36%</t>
  </si>
  <si>
    <t>5:18</t>
  </si>
  <si>
    <t>urbanterrace.jp</t>
  </si>
  <si>
    <t>72.93%</t>
  </si>
  <si>
    <t>3:37</t>
  </si>
  <si>
    <t>m.search.naver.com</t>
  </si>
  <si>
    <t>79.23%</t>
  </si>
  <si>
    <t>2:26</t>
  </si>
  <si>
    <t>domeal.jp</t>
  </si>
  <si>
    <t>4:31</t>
  </si>
  <si>
    <t>0.35%</t>
  </si>
  <si>
    <t>meiji.ac.jp</t>
  </si>
  <si>
    <t>69.93%</t>
  </si>
  <si>
    <t>8:24</t>
  </si>
  <si>
    <t>websearch.rakuten.co.jp</t>
  </si>
  <si>
    <t>70.85%</t>
  </si>
  <si>
    <t>3:14</t>
  </si>
  <si>
    <t>leadsgo.io</t>
  </si>
  <si>
    <t>99.21%</t>
  </si>
  <si>
    <t>4:22</t>
  </si>
  <si>
    <t>dormy-jutaku.jp</t>
  </si>
  <si>
    <t>75.05%</t>
  </si>
  <si>
    <t>8:00</t>
  </si>
  <si>
    <t>0.40%</t>
  </si>
  <si>
    <t>mypage.3030.i-webs.jp</t>
  </si>
  <si>
    <t>57.42%</t>
  </si>
  <si>
    <t>4:01</t>
  </si>
  <si>
    <t>chatgpt.com</t>
  </si>
  <si>
    <t>72.20%</t>
  </si>
  <si>
    <t>dormy-kyoto.com</t>
  </si>
  <si>
    <t>75.18%</t>
  </si>
  <si>
    <t>6:28</t>
  </si>
  <si>
    <t>portal.kyoritsugroup.co.jp</t>
  </si>
  <si>
    <t>74.47%</t>
  </si>
  <si>
    <t>6:36</t>
  </si>
  <si>
    <t>corp.kyoritsugroup.co.jp</t>
  </si>
  <si>
    <t>66.39%</t>
  </si>
  <si>
    <t>1:39</t>
  </si>
  <si>
    <t>dormy-senior.com</t>
  </si>
  <si>
    <t>hotespa.net</t>
  </si>
  <si>
    <t>society.ky-trust.co.jp</t>
  </si>
  <si>
    <t>student.ky-trust.co.jp</t>
  </si>
  <si>
    <t>dormy-kyoto-lp.com</t>
  </si>
  <si>
    <t>ランディングページ  —  2025年度通期（上位・/popup除外）</t>
  </si>
  <si>
    <r>
      <rPr>
        <b/>
        <sz val="10"/>
        <color rgb="FF2347A0"/>
        <rFont val="Meiryo UI"/>
        <family val="3"/>
        <charset val="128"/>
      </rPr>
      <t>■  LP</t>
    </r>
    <r>
      <rPr>
        <b/>
        <sz val="10"/>
        <color rgb="FF2347A0"/>
        <rFont val="Noto Sans CJK SC"/>
        <family val="2"/>
      </rPr>
      <t>別 訪問者・</t>
    </r>
    <r>
      <rPr>
        <b/>
        <sz val="10"/>
        <color rgb="FF2347A0"/>
        <rFont val="Meiryo UI"/>
        <family val="3"/>
        <charset val="128"/>
      </rPr>
      <t>ENG</t>
    </r>
    <r>
      <rPr>
        <b/>
        <sz val="10"/>
        <color rgb="FF2347A0"/>
        <rFont val="Noto Sans CJK SC"/>
        <family val="2"/>
      </rPr>
      <t>率・</t>
    </r>
    <r>
      <rPr>
        <b/>
        <sz val="10"/>
        <color rgb="FF2347A0"/>
        <rFont val="Meiryo UI"/>
        <family val="3"/>
        <charset val="128"/>
      </rPr>
      <t>CV</t>
    </r>
    <r>
      <rPr>
        <b/>
        <sz val="10"/>
        <color rgb="FF2347A0"/>
        <rFont val="Noto Sans CJK SC"/>
        <family val="2"/>
      </rPr>
      <t>（上位）</t>
    </r>
  </si>
  <si>
    <t>ランディングページ</t>
  </si>
  <si>
    <t>/lp/longstay/</t>
  </si>
  <si>
    <t>73.25%</t>
  </si>
  <si>
    <t>2:27</t>
  </si>
  <si>
    <t>0.39%</t>
  </si>
  <si>
    <r>
      <rPr>
        <sz val="10"/>
        <color rgb="FF1E293B"/>
        <rFont val="Meiryo UI"/>
        <family val="3"/>
        <charset val="128"/>
      </rPr>
      <t>/</t>
    </r>
    <r>
      <rPr>
        <sz val="10"/>
        <color rgb="FF1E293B"/>
        <rFont val="Noto Sans CJK SC"/>
        <family val="2"/>
      </rPr>
      <t>（トップページ）</t>
    </r>
  </si>
  <si>
    <t>73.99%</t>
  </si>
  <si>
    <t>4:24</t>
  </si>
  <si>
    <t>0.15%</t>
  </si>
  <si>
    <r>
      <rPr>
        <sz val="10"/>
        <color rgb="FF1E293B"/>
        <rFont val="Meiryo UI"/>
        <family val="3"/>
        <charset val="128"/>
      </rPr>
      <t>/bbs/board.php</t>
    </r>
    <r>
      <rPr>
        <sz val="10"/>
        <color rgb="FF1E293B"/>
        <rFont val="Noto Sans CJK SC"/>
        <family val="2"/>
      </rPr>
      <t>（掲示板）</t>
    </r>
  </si>
  <si>
    <t>33.17%</t>
  </si>
  <si>
    <t>0:20</t>
  </si>
  <si>
    <r>
      <rPr>
        <sz val="10"/>
        <color rgb="FF1E293B"/>
        <rFont val="Meiryo UI"/>
        <family val="3"/>
        <charset val="128"/>
      </rPr>
      <t>/contact/</t>
    </r>
    <r>
      <rPr>
        <sz val="10"/>
        <color rgb="FF1E293B"/>
        <rFont val="Noto Sans CJK SC"/>
        <family val="2"/>
      </rPr>
      <t>（お問い合わせ）</t>
    </r>
  </si>
  <si>
    <t>54.74%</t>
  </si>
  <si>
    <t>2:41</t>
  </si>
  <si>
    <t>0.07%</t>
  </si>
  <si>
    <r>
      <rPr>
        <sz val="10"/>
        <color rgb="FF1E293B"/>
        <rFont val="Meiryo UI"/>
        <family val="3"/>
        <charset val="128"/>
      </rPr>
      <t>/search/</t>
    </r>
    <r>
      <rPr>
        <sz val="10"/>
        <color rgb="FF1E293B"/>
        <rFont val="Noto Sans CJK SC"/>
        <family val="2"/>
      </rPr>
      <t>（物件検索）</t>
    </r>
  </si>
  <si>
    <t>93.00%</t>
  </si>
  <si>
    <t>4:12</t>
  </si>
  <si>
    <t>0.05%</t>
  </si>
  <si>
    <r>
      <rPr>
        <sz val="10"/>
        <color rgb="FF1E293B"/>
        <rFont val="Meiryo UI"/>
        <family val="3"/>
        <charset val="128"/>
      </rPr>
      <t>/about/</t>
    </r>
    <r>
      <rPr>
        <sz val="10"/>
        <color rgb="FF1E293B"/>
        <rFont val="Noto Sans CJK SC"/>
        <family val="2"/>
      </rPr>
      <t>（社員寮ドーミーとは）</t>
    </r>
  </si>
  <si>
    <t>80.89%</t>
  </si>
  <si>
    <t>3:17</t>
  </si>
  <si>
    <t>0.03%</t>
  </si>
  <si>
    <r>
      <rPr>
        <sz val="10"/>
        <color rgb="FF1E293B"/>
        <rFont val="Meiryo UI"/>
        <family val="3"/>
        <charset val="128"/>
      </rPr>
      <t>/monthly/</t>
    </r>
    <r>
      <rPr>
        <sz val="10"/>
        <color rgb="FF1E293B"/>
        <rFont val="Noto Sans CJK SC"/>
        <family val="2"/>
      </rPr>
      <t>（マンスリー利用）</t>
    </r>
  </si>
  <si>
    <t>65.66%</t>
  </si>
  <si>
    <t>0.33%</t>
  </si>
  <si>
    <r>
      <rPr>
        <sz val="10"/>
        <color rgb="FF1E293B"/>
        <rFont val="Meiryo UI"/>
        <family val="3"/>
        <charset val="128"/>
      </rPr>
      <t>/placehall/kanto/tokyo/221/</t>
    </r>
    <r>
      <rPr>
        <sz val="10"/>
        <color rgb="FF1E293B"/>
        <rFont val="Noto Sans CJK SC"/>
        <family val="2"/>
      </rPr>
      <t>（市ヶ谷）</t>
    </r>
  </si>
  <si>
    <t>88.49%</t>
  </si>
  <si>
    <t>3:35</t>
  </si>
  <si>
    <t>0.02%</t>
  </si>
  <si>
    <r>
      <rPr>
        <sz val="10"/>
        <color rgb="FF1E293B"/>
        <rFont val="Meiryo UI"/>
        <family val="3"/>
        <charset val="128"/>
      </rPr>
      <t>/refre-f/</t>
    </r>
    <r>
      <rPr>
        <sz val="10"/>
        <color rgb="FF1E293B"/>
        <rFont val="Noto Sans CJK SC"/>
        <family val="2"/>
      </rPr>
      <t>（宿泊施設付研修センター）</t>
    </r>
  </si>
  <si>
    <t>71.79%</t>
  </si>
  <si>
    <t>3:28</t>
  </si>
  <si>
    <r>
      <rPr>
        <sz val="10"/>
        <color rgb="FF1E293B"/>
        <rFont val="Meiryo UI"/>
        <family val="3"/>
        <charset val="128"/>
      </rPr>
      <t>/service/</t>
    </r>
    <r>
      <rPr>
        <sz val="10"/>
        <color rgb="FF1E293B"/>
        <rFont val="Noto Sans CJK SC"/>
        <family val="2"/>
      </rPr>
      <t>（社員寮ドーミーとは）</t>
    </r>
  </si>
  <si>
    <t>68.39%</t>
  </si>
  <si>
    <t>3:16</t>
  </si>
  <si>
    <t>0.26%</t>
  </si>
  <si>
    <r>
      <rPr>
        <sz val="10"/>
        <color rgb="FF1E293B"/>
        <rFont val="Meiryo UI"/>
        <family val="3"/>
        <charset val="128"/>
      </rPr>
      <t>/search/area/kanto/tokyo/</t>
    </r>
    <r>
      <rPr>
        <sz val="10"/>
        <color rgb="FF1E293B"/>
        <rFont val="Noto Sans CJK SC"/>
        <family val="2"/>
      </rPr>
      <t>（東京）</t>
    </r>
  </si>
  <si>
    <t>91.70%</t>
  </si>
  <si>
    <t>5:38</t>
  </si>
  <si>
    <t>0.18%</t>
  </si>
  <si>
    <r>
      <rPr>
        <sz val="10"/>
        <color rgb="FF1E293B"/>
        <rFont val="Meiryo UI"/>
        <family val="3"/>
        <charset val="128"/>
      </rPr>
      <t>/placehall/kanto/tokyo/37/</t>
    </r>
    <r>
      <rPr>
        <sz val="10"/>
        <color rgb="FF1E293B"/>
        <rFont val="Noto Sans CJK SC"/>
        <family val="2"/>
      </rPr>
      <t>（月島）</t>
    </r>
  </si>
  <si>
    <t>85.54%</t>
  </si>
  <si>
    <r>
      <rPr>
        <sz val="10"/>
        <color rgb="FF1E293B"/>
        <rFont val="Meiryo UI"/>
        <family val="3"/>
        <charset val="128"/>
      </rPr>
      <t>/lp/takamatsu-monthly/</t>
    </r>
    <r>
      <rPr>
        <sz val="10"/>
        <color rgb="FF1E293B"/>
        <rFont val="Noto Sans CJK SC"/>
        <family val="2"/>
      </rPr>
      <t>（高松マンスリー）</t>
    </r>
  </si>
  <si>
    <t>61.45%</t>
  </si>
  <si>
    <t>2:09</t>
  </si>
  <si>
    <t>0.42%</t>
  </si>
  <si>
    <r>
      <rPr>
        <sz val="10"/>
        <color rgb="FF1E293B"/>
        <rFont val="Meiryo UI"/>
        <family val="3"/>
        <charset val="128"/>
      </rPr>
      <t>/lp/sendaimonthly/</t>
    </r>
    <r>
      <rPr>
        <sz val="10"/>
        <color rgb="FF1E293B"/>
        <rFont val="Noto Sans CJK SC"/>
        <family val="2"/>
      </rPr>
      <t>（仙台マンスリー）</t>
    </r>
  </si>
  <si>
    <t>67.02%</t>
  </si>
  <si>
    <t>3:04</t>
  </si>
  <si>
    <t>0.47%</t>
  </si>
  <si>
    <r>
      <rPr>
        <sz val="10"/>
        <color rgb="FF1E293B"/>
        <rFont val="Meiryo UI"/>
        <family val="3"/>
        <charset val="128"/>
      </rPr>
      <t>/lp/dormitory/</t>
    </r>
    <r>
      <rPr>
        <sz val="10"/>
        <color rgb="FF1E293B"/>
        <rFont val="Noto Sans CJK SC"/>
        <family val="2"/>
      </rPr>
      <t>（一室利用</t>
    </r>
    <r>
      <rPr>
        <sz val="10"/>
        <color rgb="FF1E293B"/>
        <rFont val="Meiryo UI"/>
        <family val="3"/>
        <charset val="128"/>
      </rPr>
      <t>LP</t>
    </r>
    <r>
      <rPr>
        <sz val="10"/>
        <color rgb="FF1E293B"/>
        <rFont val="Noto Sans CJK SC"/>
        <family val="2"/>
      </rPr>
      <t>）</t>
    </r>
  </si>
  <si>
    <t>60.68%</t>
  </si>
  <si>
    <t>2:04</t>
  </si>
  <si>
    <t>0.09%</t>
  </si>
  <si>
    <r>
      <rPr>
        <sz val="10"/>
        <color rgb="FF1E293B"/>
        <rFont val="Meiryo UI"/>
        <family val="3"/>
        <charset val="128"/>
      </rPr>
      <t>/pamphlet/kyoritsu_dormybiz_2025/</t>
    </r>
    <r>
      <rPr>
        <sz val="10"/>
        <color rgb="FF1E293B"/>
        <rFont val="Noto Sans CJK SC"/>
        <family val="2"/>
      </rPr>
      <t>（パンフ）</t>
    </r>
  </si>
  <si>
    <t>79.72%</t>
  </si>
  <si>
    <t>9:44</t>
  </si>
  <si>
    <r>
      <rPr>
        <sz val="10"/>
        <color rgb="FF1E293B"/>
        <rFont val="Meiryo UI"/>
        <family val="3"/>
        <charset val="128"/>
      </rPr>
      <t>/roomrent/</t>
    </r>
    <r>
      <rPr>
        <sz val="10"/>
        <color rgb="FF1E293B"/>
        <rFont val="Noto Sans CJK SC"/>
        <family val="2"/>
      </rPr>
      <t>（一室利用）</t>
    </r>
  </si>
  <si>
    <t>51.62%</t>
  </si>
  <si>
    <t>4:30</t>
  </si>
  <si>
    <t>0.24%</t>
  </si>
  <si>
    <r>
      <rPr>
        <sz val="10"/>
        <color rgb="FF1E293B"/>
        <rFont val="Meiryo UI"/>
        <family val="3"/>
        <charset val="128"/>
      </rPr>
      <t>/faq/</t>
    </r>
    <r>
      <rPr>
        <sz val="10"/>
        <color rgb="FF1E293B"/>
        <rFont val="Noto Sans CJK SC"/>
        <family val="2"/>
      </rPr>
      <t>（よくある質問）</t>
    </r>
  </si>
  <si>
    <t>72.00%</t>
  </si>
  <si>
    <t>2:45</t>
  </si>
  <si>
    <r>
      <rPr>
        <sz val="10"/>
        <color rgb="FF1E293B"/>
        <rFont val="Meiryo UI"/>
        <family val="3"/>
        <charset val="128"/>
      </rPr>
      <t>/form/dormitory/</t>
    </r>
    <r>
      <rPr>
        <sz val="10"/>
        <color rgb="FF1E293B"/>
        <rFont val="Noto Sans CJK SC"/>
        <family val="2"/>
      </rPr>
      <t>（長期利用フォーム）</t>
    </r>
  </si>
  <si>
    <t>98.00%</t>
  </si>
  <si>
    <t>1:30</t>
  </si>
  <si>
    <t>6.25%</t>
  </si>
  <si>
    <r>
      <rPr>
        <sz val="10"/>
        <color rgb="FF1E293B"/>
        <rFont val="Meiryo UI"/>
        <family val="3"/>
        <charset val="128"/>
      </rPr>
      <t>/form/monthly/</t>
    </r>
    <r>
      <rPr>
        <sz val="10"/>
        <color rgb="FF1E293B"/>
        <rFont val="Noto Sans CJK SC"/>
        <family val="2"/>
      </rPr>
      <t>（マンスリーフォーム）</t>
    </r>
  </si>
  <si>
    <t>97.00%</t>
  </si>
  <si>
    <t>1:20</t>
  </si>
  <si>
    <t>8.33%</t>
  </si>
  <si>
    <t>ページ別  —  2025年度通期（上位・/popup除外）</t>
  </si>
  <si>
    <t>■  ページ別 PV・ENG率・平均滞在時間（上位）</t>
  </si>
  <si>
    <t>ページパス（説明付き）</t>
  </si>
  <si>
    <r>
      <rPr>
        <sz val="10"/>
        <color rgb="FF1E293B"/>
        <rFont val="Meiryo UI"/>
        <family val="3"/>
        <charset val="128"/>
      </rPr>
      <t>/lp/longstay/</t>
    </r>
    <r>
      <rPr>
        <sz val="10"/>
        <color rgb="FF1E293B"/>
        <rFont val="Noto Sans CJK SC"/>
        <family val="2"/>
      </rPr>
      <t>（長期出張・マンスリー特設</t>
    </r>
    <r>
      <rPr>
        <sz val="10"/>
        <color rgb="FF1E293B"/>
        <rFont val="Meiryo UI"/>
        <family val="3"/>
        <charset val="128"/>
      </rPr>
      <t>LP</t>
    </r>
    <r>
      <rPr>
        <sz val="10"/>
        <color rgb="FF1E293B"/>
        <rFont val="Noto Sans CJK SC"/>
        <family val="2"/>
      </rPr>
      <t>）</t>
    </r>
  </si>
  <si>
    <t>72.48%</t>
  </si>
  <si>
    <t>1:51</t>
  </si>
  <si>
    <t>77.44%</t>
  </si>
  <si>
    <t>1:18</t>
  </si>
  <si>
    <t>96.40%</t>
  </si>
  <si>
    <t>0:43</t>
  </si>
  <si>
    <r>
      <rPr>
        <sz val="10"/>
        <color rgb="FF1E293B"/>
        <rFont val="Meiryo UI"/>
        <family val="3"/>
        <charset val="128"/>
      </rPr>
      <t>/placehall/kanto/tokyo/221/</t>
    </r>
    <r>
      <rPr>
        <sz val="10"/>
        <color rgb="FF1E293B"/>
        <rFont val="Noto Sans CJK SC"/>
        <family val="2"/>
      </rPr>
      <t>（ドーミーレジデンス市ヶ谷）</t>
    </r>
  </si>
  <si>
    <t>94.40%</t>
  </si>
  <si>
    <t>1:34</t>
  </si>
  <si>
    <r>
      <rPr>
        <sz val="10"/>
        <color rgb="FF1E293B"/>
        <rFont val="Meiryo UI"/>
        <family val="3"/>
        <charset val="128"/>
      </rPr>
      <t>/service/</t>
    </r>
    <r>
      <rPr>
        <sz val="10"/>
        <color rgb="FF1E293B"/>
        <rFont val="Noto Sans CJK SC"/>
        <family val="2"/>
      </rPr>
      <t>（社員寮ドーミーとは：法人担当者向け）</t>
    </r>
  </si>
  <si>
    <t>85.93%</t>
  </si>
  <si>
    <t>1:24</t>
  </si>
  <si>
    <t>77.96%</t>
  </si>
  <si>
    <t>1:37</t>
  </si>
  <si>
    <r>
      <rPr>
        <sz val="10"/>
        <color rgb="FF1E293B"/>
        <rFont val="Meiryo UI"/>
        <family val="3"/>
        <charset val="128"/>
      </rPr>
      <t>/contact/</t>
    </r>
    <r>
      <rPr>
        <sz val="10"/>
        <color rgb="FF1E293B"/>
        <rFont val="Noto Sans CJK SC"/>
        <family val="2"/>
      </rPr>
      <t>（お問い合わせ・資料請求）</t>
    </r>
  </si>
  <si>
    <t>57.61%</t>
  </si>
  <si>
    <t>1:05</t>
  </si>
  <si>
    <t>82.94%</t>
  </si>
  <si>
    <r>
      <rPr>
        <sz val="10"/>
        <color rgb="FF1E293B"/>
        <rFont val="Meiryo UI"/>
        <family val="3"/>
        <charset val="128"/>
      </rPr>
      <t>/placehall/kanto/tokyo/37/</t>
    </r>
    <r>
      <rPr>
        <sz val="10"/>
        <color rgb="FF1E293B"/>
        <rFont val="Noto Sans CJK SC"/>
        <family val="2"/>
      </rPr>
      <t>（ドーミー月島）</t>
    </r>
  </si>
  <si>
    <t>92.90%</t>
  </si>
  <si>
    <t>0:54</t>
  </si>
  <si>
    <r>
      <rPr>
        <sz val="10"/>
        <color rgb="FF1E293B"/>
        <rFont val="Meiryo UI"/>
        <family val="3"/>
        <charset val="128"/>
      </rPr>
      <t>/about/</t>
    </r>
    <r>
      <rPr>
        <sz val="10"/>
        <color rgb="FF1E293B"/>
        <rFont val="Noto Sans CJK SC"/>
        <family val="2"/>
      </rPr>
      <t>（社員寮ドーミーとは概要）</t>
    </r>
  </si>
  <si>
    <t>81.95%</t>
  </si>
  <si>
    <t>1:52</t>
  </si>
  <si>
    <t>71.84%</t>
  </si>
  <si>
    <t>1:40</t>
  </si>
  <si>
    <r>
      <rPr>
        <sz val="10"/>
        <color rgb="FF1E293B"/>
        <rFont val="Meiryo UI"/>
        <family val="3"/>
        <charset val="128"/>
      </rPr>
      <t>/contact/download/</t>
    </r>
    <r>
      <rPr>
        <sz val="10"/>
        <color rgb="FF1E293B"/>
        <rFont val="Noto Sans CJK SC"/>
        <family val="2"/>
      </rPr>
      <t>（資料請求）</t>
    </r>
  </si>
  <si>
    <t>97.63%</t>
  </si>
  <si>
    <r>
      <rPr>
        <sz val="10"/>
        <color rgb="FF1E293B"/>
        <rFont val="Meiryo UI"/>
        <family val="3"/>
        <charset val="128"/>
      </rPr>
      <t>/search/area/kansai/</t>
    </r>
    <r>
      <rPr>
        <sz val="10"/>
        <color rgb="FF1E293B"/>
        <rFont val="Noto Sans CJK SC"/>
        <family val="2"/>
      </rPr>
      <t>（関西エリア物件検索）</t>
    </r>
  </si>
  <si>
    <t>97.52%</t>
  </si>
  <si>
    <t>1:02</t>
  </si>
  <si>
    <r>
      <rPr>
        <sz val="10"/>
        <color rgb="FF1E293B"/>
        <rFont val="Meiryo UI"/>
        <family val="3"/>
        <charset val="128"/>
      </rPr>
      <t>/form/individual-dormitory/</t>
    </r>
    <r>
      <rPr>
        <sz val="10"/>
        <color rgb="FF1E293B"/>
        <rFont val="Noto Sans CJK SC"/>
        <family val="2"/>
      </rPr>
      <t>（個人向けフォーム）</t>
    </r>
  </si>
  <si>
    <t>98.97%</t>
  </si>
  <si>
    <t>0:48</t>
  </si>
  <si>
    <r>
      <rPr>
        <sz val="10"/>
        <color rgb="FF1E293B"/>
        <rFont val="Meiryo UI"/>
        <family val="3"/>
        <charset val="128"/>
      </rPr>
      <t>/service/corporation/</t>
    </r>
    <r>
      <rPr>
        <sz val="10"/>
        <color rgb="FF1E293B"/>
        <rFont val="Noto Sans CJK SC"/>
        <family val="2"/>
      </rPr>
      <t>（法人担当者向けサービス）</t>
    </r>
  </si>
  <si>
    <t>87.00%</t>
  </si>
  <si>
    <t>1:50</t>
  </si>
  <si>
    <r>
      <rPr>
        <sz val="10"/>
        <color rgb="FF1E293B"/>
        <rFont val="Meiryo UI"/>
        <family val="3"/>
        <charset val="128"/>
      </rPr>
      <t>/service/resident/</t>
    </r>
    <r>
      <rPr>
        <sz val="10"/>
        <color rgb="FF1E293B"/>
        <rFont val="Noto Sans CJK SC"/>
        <family val="2"/>
      </rPr>
      <t>（入居者向けサービス）</t>
    </r>
  </si>
  <si>
    <t>84.00%</t>
  </si>
  <si>
    <t>1:45</t>
  </si>
  <si>
    <t>80.00%</t>
  </si>
  <si>
    <r>
      <rPr>
        <sz val="10"/>
        <color rgb="FF1E293B"/>
        <rFont val="Meiryo UI"/>
        <family val="3"/>
        <charset val="128"/>
      </rPr>
      <t>/roomrent/monthly/</t>
    </r>
    <r>
      <rPr>
        <sz val="10"/>
        <color rgb="FF1E293B"/>
        <rFont val="Noto Sans CJK SC"/>
        <family val="2"/>
      </rPr>
      <t>（マンスリー利用詳細）</t>
    </r>
  </si>
  <si>
    <t>75.00%</t>
  </si>
  <si>
    <r>
      <rPr>
        <b/>
        <sz val="10"/>
        <color rgb="FF2347A0"/>
        <rFont val="Meiryo UI"/>
        <family val="3"/>
        <charset val="128"/>
      </rPr>
      <t>/form/dormitory/</t>
    </r>
    <r>
      <rPr>
        <b/>
        <sz val="10"/>
        <color rgb="FF2347A0"/>
        <rFont val="Noto Sans CJK SC"/>
        <family val="2"/>
      </rPr>
      <t>（長期利用お問い合わせフォーム）</t>
    </r>
  </si>
  <si>
    <r>
      <rPr>
        <sz val="10"/>
        <color rgb="FF1E293B"/>
        <rFont val="Meiryo UI"/>
        <family val="3"/>
        <charset val="128"/>
      </rPr>
      <t>/search/area/kanto/kanagawa/</t>
    </r>
    <r>
      <rPr>
        <sz val="10"/>
        <color rgb="FF1E293B"/>
        <rFont val="Noto Sans CJK SC"/>
        <family val="2"/>
      </rPr>
      <t>（神奈川物件検索）</t>
    </r>
  </si>
  <si>
    <t>88.00%</t>
  </si>
  <si>
    <t>1:15</t>
  </si>
  <si>
    <t>ページ分類別  —  2025年度通期</t>
  </si>
  <si>
    <t>■  ディレクトリ別 PV集計（/popup除外）</t>
  </si>
  <si>
    <t>カテゴリ（ディレクトリ）</t>
  </si>
  <si>
    <t>配下ページ数</t>
  </si>
  <si>
    <r>
      <rPr>
        <sz val="10"/>
        <color rgb="FF1E293B"/>
        <rFont val="Meiryo UI"/>
        <family val="3"/>
        <charset val="128"/>
      </rPr>
      <t>/placehall/</t>
    </r>
    <r>
      <rPr>
        <sz val="10"/>
        <color rgb="FF1E293B"/>
        <rFont val="Noto Sans CJK SC"/>
        <family val="2"/>
      </rPr>
      <t>（物件詳細ページ群）</t>
    </r>
  </si>
  <si>
    <r>
      <rPr>
        <sz val="10"/>
        <color rgb="FF1E293B"/>
        <rFont val="Meiryo UI"/>
        <family val="3"/>
        <charset val="128"/>
      </rPr>
      <t>/search/</t>
    </r>
    <r>
      <rPr>
        <sz val="10"/>
        <color rgb="FF1E293B"/>
        <rFont val="Noto Sans CJK SC"/>
        <family val="2"/>
      </rPr>
      <t>（物件検索ページ群）</t>
    </r>
  </si>
  <si>
    <r>
      <rPr>
        <sz val="10"/>
        <color rgb="FF1E293B"/>
        <rFont val="Meiryo UI"/>
        <family val="3"/>
        <charset val="128"/>
      </rPr>
      <t>/property</t>
    </r>
    <r>
      <rPr>
        <sz val="10"/>
        <color rgb="FF1E293B"/>
        <rFont val="Noto Sans CJK SC"/>
        <family val="2"/>
      </rPr>
      <t>（物件概要）</t>
    </r>
  </si>
  <si>
    <r>
      <rPr>
        <sz val="10"/>
        <color rgb="FF1E293B"/>
        <rFont val="Meiryo UI"/>
        <family val="3"/>
        <charset val="128"/>
      </rPr>
      <t>/lp/</t>
    </r>
    <r>
      <rPr>
        <sz val="10"/>
        <color rgb="FF1E293B"/>
        <rFont val="Noto Sans CJK SC"/>
        <family val="2"/>
      </rPr>
      <t>（ランディングページ群）</t>
    </r>
  </si>
  <si>
    <r>
      <rPr>
        <sz val="10"/>
        <color rgb="FF1E293B"/>
        <rFont val="Meiryo UI"/>
        <family val="3"/>
        <charset val="128"/>
      </rPr>
      <t>/bbs/</t>
    </r>
    <r>
      <rPr>
        <sz val="10"/>
        <color rgb="FF1E293B"/>
        <rFont val="Noto Sans CJK SC"/>
        <family val="2"/>
      </rPr>
      <t>（掲示板）</t>
    </r>
  </si>
  <si>
    <r>
      <rPr>
        <sz val="10"/>
        <color rgb="FF1E293B"/>
        <rFont val="Meiryo UI"/>
        <family val="3"/>
        <charset val="128"/>
      </rPr>
      <t>/form/</t>
    </r>
    <r>
      <rPr>
        <sz val="10"/>
        <color rgb="FF1E293B"/>
        <rFont val="Noto Sans CJK SC"/>
        <family val="2"/>
      </rPr>
      <t>（各種フォーム）</t>
    </r>
  </si>
  <si>
    <r>
      <rPr>
        <sz val="10"/>
        <color rgb="FF1E293B"/>
        <rFont val="Meiryo UI"/>
        <family val="3"/>
        <charset val="128"/>
      </rPr>
      <t>/service/</t>
    </r>
    <r>
      <rPr>
        <sz val="10"/>
        <color rgb="FF1E293B"/>
        <rFont val="Noto Sans CJK SC"/>
        <family val="2"/>
      </rPr>
      <t>（サービス紹介）</t>
    </r>
  </si>
  <si>
    <r>
      <rPr>
        <sz val="10"/>
        <color rgb="FF1E293B"/>
        <rFont val="Meiryo UI"/>
        <family val="3"/>
        <charset val="128"/>
      </rPr>
      <t>/refre-f/</t>
    </r>
    <r>
      <rPr>
        <sz val="10"/>
        <color rgb="FF1E293B"/>
        <rFont val="Noto Sans CJK SC"/>
        <family val="2"/>
      </rPr>
      <t>（研修センター）</t>
    </r>
  </si>
  <si>
    <r>
      <rPr>
        <sz val="10"/>
        <color rgb="FF1E293B"/>
        <rFont val="Meiryo UI"/>
        <family val="3"/>
        <charset val="128"/>
      </rPr>
      <t>/column/</t>
    </r>
    <r>
      <rPr>
        <sz val="10"/>
        <color rgb="FF1E293B"/>
        <rFont val="Noto Sans CJK SC"/>
        <family val="2"/>
      </rPr>
      <t>（コラム）</t>
    </r>
  </si>
  <si>
    <r>
      <rPr>
        <sz val="10"/>
        <color rgb="FF1E293B"/>
        <rFont val="Meiryo UI"/>
        <family val="3"/>
        <charset val="128"/>
      </rPr>
      <t>/news/</t>
    </r>
    <r>
      <rPr>
        <sz val="10"/>
        <color rgb="FF1E293B"/>
        <rFont val="Noto Sans CJK SC"/>
        <family val="2"/>
      </rPr>
      <t>（ニュース）</t>
    </r>
  </si>
  <si>
    <r>
      <rPr>
        <sz val="10"/>
        <color rgb="FF1E293B"/>
        <rFont val="Meiryo UI"/>
        <family val="3"/>
        <charset val="128"/>
      </rPr>
      <t>/about/</t>
    </r>
    <r>
      <rPr>
        <sz val="10"/>
        <color rgb="FF1E293B"/>
        <rFont val="Noto Sans CJK SC"/>
        <family val="2"/>
      </rPr>
      <t>（ドーミーについて）</t>
    </r>
  </si>
  <si>
    <r>
      <rPr>
        <sz val="10"/>
        <color rgb="FF1E293B"/>
        <rFont val="Meiryo UI"/>
        <family val="3"/>
        <charset val="128"/>
      </rPr>
      <t>/seminar/</t>
    </r>
    <r>
      <rPr>
        <sz val="10"/>
        <color rgb="FF1E293B"/>
        <rFont val="Noto Sans CJK SC"/>
        <family val="2"/>
      </rPr>
      <t>（セミナー）</t>
    </r>
  </si>
  <si>
    <r>
      <rPr>
        <sz val="10"/>
        <color rgb="FF1E293B"/>
        <rFont val="Meiryo UI"/>
        <family val="3"/>
        <charset val="128"/>
      </rPr>
      <t>/flow/</t>
    </r>
    <r>
      <rPr>
        <sz val="10"/>
        <color rgb="FF1E293B"/>
        <rFont val="Noto Sans CJK SC"/>
        <family val="2"/>
      </rPr>
      <t>（ご利用の流れ）</t>
    </r>
  </si>
  <si>
    <r>
      <rPr>
        <sz val="10"/>
        <color rgb="FF1E293B"/>
        <rFont val="Meiryo UI"/>
        <family val="3"/>
        <charset val="128"/>
      </rPr>
      <t>/term/</t>
    </r>
    <r>
      <rPr>
        <sz val="10"/>
        <color rgb="FF1E293B"/>
        <rFont val="Noto Sans CJK SC"/>
        <family val="2"/>
      </rPr>
      <t>（利用規約）</t>
    </r>
  </si>
  <si>
    <r>
      <rPr>
        <sz val="10"/>
        <color rgb="FF1E293B"/>
        <rFont val="Meiryo UI"/>
        <family val="3"/>
        <charset val="128"/>
      </rPr>
      <t>/application/</t>
    </r>
    <r>
      <rPr>
        <sz val="10"/>
        <color rgb="FF1E293B"/>
        <rFont val="Noto Sans CJK SC"/>
        <family val="2"/>
      </rPr>
      <t>（申込）</t>
    </r>
  </si>
  <si>
    <r>
      <rPr>
        <sz val="10"/>
        <color rgb="FF1E293B"/>
        <rFont val="Meiryo UI"/>
        <family val="3"/>
        <charset val="128"/>
      </rPr>
      <t>/pamphlet/</t>
    </r>
    <r>
      <rPr>
        <sz val="10"/>
        <color rgb="FF1E293B"/>
        <rFont val="Noto Sans CJK SC"/>
        <family val="2"/>
      </rPr>
      <t>（パンフレット）</t>
    </r>
  </si>
  <si>
    <r>
      <rPr>
        <sz val="10"/>
        <color rgb="FF1E293B"/>
        <rFont val="Meiryo UI"/>
        <family val="3"/>
        <charset val="128"/>
      </rPr>
      <t>/voice/</t>
    </r>
    <r>
      <rPr>
        <sz val="10"/>
        <color rgb="FF1E293B"/>
        <rFont val="Noto Sans CJK SC"/>
        <family val="2"/>
      </rPr>
      <t>（お客様の声）</t>
    </r>
  </si>
  <si>
    <r>
      <rPr>
        <sz val="10"/>
        <color rgb="FF1E293B"/>
        <rFont val="Meiryo UI"/>
        <family val="3"/>
        <charset val="128"/>
      </rPr>
      <t>/utilize/</t>
    </r>
    <r>
      <rPr>
        <sz val="10"/>
        <color rgb="FF1E293B"/>
        <rFont val="Noto Sans CJK SC"/>
        <family val="2"/>
      </rPr>
      <t>（活用事例）</t>
    </r>
  </si>
  <si>
    <t>ユーザー属性  —  2025年度通期</t>
  </si>
  <si>
    <t>■  新規 / リピーター</t>
  </si>
  <si>
    <t>■  性別</t>
  </si>
  <si>
    <t>性別</t>
  </si>
  <si>
    <t>割合</t>
  </si>
  <si>
    <t>新規ユーザー</t>
  </si>
  <si>
    <t>89.2%</t>
  </si>
  <si>
    <t>男性</t>
  </si>
  <si>
    <t>2.6%</t>
  </si>
  <si>
    <t>リピーター</t>
  </si>
  <si>
    <t>10.8%</t>
  </si>
  <si>
    <t>女性</t>
  </si>
  <si>
    <t>1.8%</t>
  </si>
  <si>
    <t>不明</t>
  </si>
  <si>
    <t>95.6%</t>
  </si>
  <si>
    <t>■  デバイス別</t>
  </si>
  <si>
    <t>■  年齢層別</t>
  </si>
  <si>
    <t>年齢層</t>
  </si>
  <si>
    <t>モバイル</t>
  </si>
  <si>
    <t>50.6%</t>
  </si>
  <si>
    <t>18-24</t>
  </si>
  <si>
    <t>1.1%</t>
  </si>
  <si>
    <t>デスクトップ</t>
  </si>
  <si>
    <t>48.5%</t>
  </si>
  <si>
    <t>25-34</t>
  </si>
  <si>
    <t>1.3%</t>
  </si>
  <si>
    <t>タブレット</t>
  </si>
  <si>
    <t>0.9%</t>
  </si>
  <si>
    <t>35-44</t>
  </si>
  <si>
    <t>45-54</t>
  </si>
  <si>
    <t>0.6%</t>
  </si>
  <si>
    <t>55-64</t>
  </si>
  <si>
    <t>0.2%</t>
  </si>
  <si>
    <t>■  地域別（上位15）</t>
  </si>
  <si>
    <t>65+</t>
  </si>
  <si>
    <t>0.1%</t>
  </si>
  <si>
    <t>都市・地域</t>
  </si>
  <si>
    <t>95.7%</t>
  </si>
  <si>
    <t>大阪市</t>
  </si>
  <si>
    <t>9.0%</t>
  </si>
  <si>
    <t>新宿区</t>
  </si>
  <si>
    <t>6.4%</t>
  </si>
  <si>
    <t>Shanghai</t>
  </si>
  <si>
    <t>4.9%</t>
  </si>
  <si>
    <t>港区</t>
  </si>
  <si>
    <t>4.4%</t>
  </si>
  <si>
    <t>渋谷区</t>
  </si>
  <si>
    <t>3.7%</t>
  </si>
  <si>
    <t>横浜市</t>
  </si>
  <si>
    <t>千代田区</t>
  </si>
  <si>
    <t>3.5%</t>
  </si>
  <si>
    <t>名古屋市</t>
  </si>
  <si>
    <t>3.3%</t>
  </si>
  <si>
    <t>札幌市</t>
  </si>
  <si>
    <t>福岡市</t>
  </si>
  <si>
    <t>3.1%</t>
  </si>
  <si>
    <t>神戸市</t>
  </si>
  <si>
    <t>2.3%</t>
  </si>
  <si>
    <t>Hangzhou</t>
  </si>
  <si>
    <t>2.0%</t>
  </si>
  <si>
    <t>世田谷区</t>
  </si>
  <si>
    <t>1.9%</t>
  </si>
  <si>
    <t>Changzhou</t>
  </si>
  <si>
    <t>京都市</t>
  </si>
  <si>
    <t>曜日・時間帯別  —  2025年度通期</t>
  </si>
  <si>
    <t>■  曜日別 訪問者・CV数</t>
  </si>
  <si>
    <t>■  時間帯別 訪問者・CV数（全24時間）</t>
  </si>
  <si>
    <t>曜日</t>
  </si>
  <si>
    <r>
      <rPr>
        <b/>
        <sz val="9"/>
        <color rgb="FFFFFFFF"/>
        <rFont val="Meiryo UI"/>
        <family val="3"/>
        <charset val="128"/>
      </rPr>
      <t>CV</t>
    </r>
    <r>
      <rPr>
        <b/>
        <sz val="9"/>
        <color rgb="FFFFFFFF"/>
        <rFont val="Noto Sans CJK SC"/>
        <family val="2"/>
      </rPr>
      <t>割合</t>
    </r>
  </si>
  <si>
    <t>時間帯</t>
  </si>
  <si>
    <t>日曜日</t>
  </si>
  <si>
    <r>
      <rPr>
        <sz val="10"/>
        <color rgb="FF1E293B"/>
        <rFont val="Meiryo UI"/>
        <family val="3"/>
        <charset val="128"/>
      </rPr>
      <t>0</t>
    </r>
    <r>
      <rPr>
        <sz val="10"/>
        <color rgb="FF1E293B"/>
        <rFont val="Noto Sans CJK SC"/>
        <family val="2"/>
      </rPr>
      <t>時</t>
    </r>
  </si>
  <si>
    <t>月曜日</t>
  </si>
  <si>
    <r>
      <rPr>
        <sz val="10"/>
        <color rgb="FF1E293B"/>
        <rFont val="Meiryo UI"/>
        <family val="3"/>
        <charset val="128"/>
      </rPr>
      <t>1</t>
    </r>
    <r>
      <rPr>
        <sz val="10"/>
        <color rgb="FF1E293B"/>
        <rFont val="Noto Sans CJK SC"/>
        <family val="2"/>
      </rPr>
      <t>時</t>
    </r>
  </si>
  <si>
    <t>火曜日</t>
  </si>
  <si>
    <r>
      <rPr>
        <sz val="10"/>
        <color rgb="FF1E293B"/>
        <rFont val="Meiryo UI"/>
        <family val="3"/>
        <charset val="128"/>
      </rPr>
      <t>2</t>
    </r>
    <r>
      <rPr>
        <sz val="10"/>
        <color rgb="FF1E293B"/>
        <rFont val="Noto Sans CJK SC"/>
        <family val="2"/>
      </rPr>
      <t>時</t>
    </r>
  </si>
  <si>
    <t>水曜日</t>
  </si>
  <si>
    <r>
      <rPr>
        <sz val="10"/>
        <color rgb="FF1E293B"/>
        <rFont val="Meiryo UI"/>
        <family val="3"/>
        <charset val="128"/>
      </rPr>
      <t>3</t>
    </r>
    <r>
      <rPr>
        <sz val="10"/>
        <color rgb="FF1E293B"/>
        <rFont val="Noto Sans CJK SC"/>
        <family val="2"/>
      </rPr>
      <t>時</t>
    </r>
  </si>
  <si>
    <t>木曜日</t>
  </si>
  <si>
    <r>
      <rPr>
        <sz val="10"/>
        <color rgb="FF1E293B"/>
        <rFont val="Meiryo UI"/>
        <family val="3"/>
        <charset val="128"/>
      </rPr>
      <t>4</t>
    </r>
    <r>
      <rPr>
        <sz val="10"/>
        <color rgb="FF1E293B"/>
        <rFont val="Noto Sans CJK SC"/>
        <family val="2"/>
      </rPr>
      <t>時</t>
    </r>
  </si>
  <si>
    <t>金曜日</t>
  </si>
  <si>
    <r>
      <rPr>
        <sz val="10"/>
        <color rgb="FF1E293B"/>
        <rFont val="Meiryo UI"/>
        <family val="3"/>
        <charset val="128"/>
      </rPr>
      <t>5</t>
    </r>
    <r>
      <rPr>
        <sz val="10"/>
        <color rgb="FF1E293B"/>
        <rFont val="Noto Sans CJK SC"/>
        <family val="2"/>
      </rPr>
      <t>時</t>
    </r>
  </si>
  <si>
    <t>土曜日</t>
  </si>
  <si>
    <r>
      <rPr>
        <sz val="10"/>
        <color rgb="FF1E293B"/>
        <rFont val="Meiryo UI"/>
        <family val="3"/>
        <charset val="128"/>
      </rPr>
      <t>6</t>
    </r>
    <r>
      <rPr>
        <sz val="10"/>
        <color rgb="FF1E293B"/>
        <rFont val="Noto Sans CJK SC"/>
        <family val="2"/>
      </rPr>
      <t>時</t>
    </r>
  </si>
  <si>
    <r>
      <rPr>
        <sz val="10"/>
        <color rgb="FF1E293B"/>
        <rFont val="Meiryo UI"/>
        <family val="3"/>
        <charset val="128"/>
      </rPr>
      <t>7</t>
    </r>
    <r>
      <rPr>
        <sz val="10"/>
        <color rgb="FF1E293B"/>
        <rFont val="Noto Sans CJK SC"/>
        <family val="2"/>
      </rPr>
      <t>時</t>
    </r>
  </si>
  <si>
    <r>
      <rPr>
        <sz val="10"/>
        <color rgb="FF1E293B"/>
        <rFont val="Meiryo UI"/>
        <family val="3"/>
        <charset val="128"/>
      </rPr>
      <t>8</t>
    </r>
    <r>
      <rPr>
        <sz val="10"/>
        <color rgb="FF1E293B"/>
        <rFont val="Noto Sans CJK SC"/>
        <family val="2"/>
      </rPr>
      <t>時</t>
    </r>
  </si>
  <si>
    <r>
      <rPr>
        <b/>
        <sz val="10"/>
        <color rgb="FF2347A0"/>
        <rFont val="Meiryo UI"/>
        <family val="3"/>
        <charset val="128"/>
      </rPr>
      <t>9</t>
    </r>
    <r>
      <rPr>
        <b/>
        <sz val="10"/>
        <color rgb="FF2347A0"/>
        <rFont val="Noto Sans CJK SC"/>
        <family val="2"/>
      </rPr>
      <t>時</t>
    </r>
  </si>
  <si>
    <r>
      <rPr>
        <b/>
        <sz val="10"/>
        <color rgb="FF2347A0"/>
        <rFont val="Meiryo UI"/>
        <family val="3"/>
        <charset val="128"/>
      </rPr>
      <t>10</t>
    </r>
    <r>
      <rPr>
        <b/>
        <sz val="10"/>
        <color rgb="FF2347A0"/>
        <rFont val="Noto Sans CJK SC"/>
        <family val="2"/>
      </rPr>
      <t>時</t>
    </r>
  </si>
  <si>
    <r>
      <rPr>
        <b/>
        <sz val="10"/>
        <color rgb="FF2347A0"/>
        <rFont val="Meiryo UI"/>
        <family val="3"/>
        <charset val="128"/>
      </rPr>
      <t>11</t>
    </r>
    <r>
      <rPr>
        <b/>
        <sz val="10"/>
        <color rgb="FF2347A0"/>
        <rFont val="Noto Sans CJK SC"/>
        <family val="2"/>
      </rPr>
      <t>時</t>
    </r>
  </si>
  <si>
    <r>
      <rPr>
        <b/>
        <sz val="10"/>
        <color rgb="FF2347A0"/>
        <rFont val="Meiryo UI"/>
        <family val="3"/>
        <charset val="128"/>
      </rPr>
      <t>12</t>
    </r>
    <r>
      <rPr>
        <b/>
        <sz val="10"/>
        <color rgb="FF2347A0"/>
        <rFont val="Noto Sans CJK SC"/>
        <family val="2"/>
      </rPr>
      <t>時</t>
    </r>
  </si>
  <si>
    <r>
      <rPr>
        <b/>
        <sz val="10"/>
        <color rgb="FF2347A0"/>
        <rFont val="Meiryo UI"/>
        <family val="3"/>
        <charset val="128"/>
      </rPr>
      <t>13</t>
    </r>
    <r>
      <rPr>
        <b/>
        <sz val="10"/>
        <color rgb="FF2347A0"/>
        <rFont val="Noto Sans CJK SC"/>
        <family val="2"/>
      </rPr>
      <t>時</t>
    </r>
  </si>
  <si>
    <r>
      <rPr>
        <b/>
        <sz val="10"/>
        <color rgb="FF2347A0"/>
        <rFont val="Meiryo UI"/>
        <family val="3"/>
        <charset val="128"/>
      </rPr>
      <t>14</t>
    </r>
    <r>
      <rPr>
        <b/>
        <sz val="10"/>
        <color rgb="FF2347A0"/>
        <rFont val="Noto Sans CJK SC"/>
        <family val="2"/>
      </rPr>
      <t>時</t>
    </r>
  </si>
  <si>
    <r>
      <rPr>
        <b/>
        <sz val="10"/>
        <color rgb="FF2347A0"/>
        <rFont val="Meiryo UI"/>
        <family val="3"/>
        <charset val="128"/>
      </rPr>
      <t>15</t>
    </r>
    <r>
      <rPr>
        <b/>
        <sz val="10"/>
        <color rgb="FF2347A0"/>
        <rFont val="Noto Sans CJK SC"/>
        <family val="2"/>
      </rPr>
      <t>時</t>
    </r>
  </si>
  <si>
    <r>
      <rPr>
        <b/>
        <sz val="10"/>
        <color rgb="FF2347A0"/>
        <rFont val="Meiryo UI"/>
        <family val="3"/>
        <charset val="128"/>
      </rPr>
      <t>16</t>
    </r>
    <r>
      <rPr>
        <b/>
        <sz val="10"/>
        <color rgb="FF2347A0"/>
        <rFont val="Noto Sans CJK SC"/>
        <family val="2"/>
      </rPr>
      <t>時</t>
    </r>
  </si>
  <si>
    <r>
      <rPr>
        <b/>
        <sz val="10"/>
        <color rgb="FF2347A0"/>
        <rFont val="Meiryo UI"/>
        <family val="3"/>
        <charset val="128"/>
      </rPr>
      <t>17</t>
    </r>
    <r>
      <rPr>
        <b/>
        <sz val="10"/>
        <color rgb="FF2347A0"/>
        <rFont val="Noto Sans CJK SC"/>
        <family val="2"/>
      </rPr>
      <t>時</t>
    </r>
  </si>
  <si>
    <r>
      <rPr>
        <sz val="10"/>
        <color rgb="FF1E293B"/>
        <rFont val="Meiryo UI"/>
        <family val="3"/>
        <charset val="128"/>
      </rPr>
      <t>18</t>
    </r>
    <r>
      <rPr>
        <sz val="10"/>
        <color rgb="FF1E293B"/>
        <rFont val="Noto Sans CJK SC"/>
        <family val="2"/>
      </rPr>
      <t>時</t>
    </r>
  </si>
  <si>
    <r>
      <rPr>
        <sz val="10"/>
        <color rgb="FF1E293B"/>
        <rFont val="Meiryo UI"/>
        <family val="3"/>
        <charset val="128"/>
      </rPr>
      <t>19</t>
    </r>
    <r>
      <rPr>
        <sz val="10"/>
        <color rgb="FF1E293B"/>
        <rFont val="Noto Sans CJK SC"/>
        <family val="2"/>
      </rPr>
      <t>時</t>
    </r>
  </si>
  <si>
    <r>
      <rPr>
        <sz val="10"/>
        <color rgb="FF1E293B"/>
        <rFont val="Meiryo UI"/>
        <family val="3"/>
        <charset val="128"/>
      </rPr>
      <t>20</t>
    </r>
    <r>
      <rPr>
        <sz val="10"/>
        <color rgb="FF1E293B"/>
        <rFont val="Noto Sans CJK SC"/>
        <family val="2"/>
      </rPr>
      <t>時</t>
    </r>
  </si>
  <si>
    <r>
      <rPr>
        <sz val="10"/>
        <color rgb="FF1E293B"/>
        <rFont val="Meiryo UI"/>
        <family val="3"/>
        <charset val="128"/>
      </rPr>
      <t>21</t>
    </r>
    <r>
      <rPr>
        <sz val="10"/>
        <color rgb="FF1E293B"/>
        <rFont val="Noto Sans CJK SC"/>
        <family val="2"/>
      </rPr>
      <t>時</t>
    </r>
  </si>
  <si>
    <r>
      <rPr>
        <sz val="10"/>
        <color rgb="FF1E293B"/>
        <rFont val="Meiryo UI"/>
        <family val="3"/>
        <charset val="128"/>
      </rPr>
      <t>22</t>
    </r>
    <r>
      <rPr>
        <sz val="10"/>
        <color rgb="FF1E293B"/>
        <rFont val="Noto Sans CJK SC"/>
        <family val="2"/>
      </rPr>
      <t>時</t>
    </r>
  </si>
  <si>
    <r>
      <rPr>
        <sz val="10"/>
        <color rgb="FF1E293B"/>
        <rFont val="Meiryo UI"/>
        <family val="3"/>
        <charset val="128"/>
      </rPr>
      <t>23</t>
    </r>
    <r>
      <rPr>
        <sz val="10"/>
        <color rgb="FF1E293B"/>
        <rFont val="Noto Sans CJK SC"/>
        <family val="2"/>
      </rPr>
      <t>時</t>
    </r>
  </si>
  <si>
    <t>改善提案アクションプラン  —  長期利用・マンスリー リード獲得</t>
  </si>
  <si>
    <t>フォーム到達率（全体）</t>
  </si>
  <si>
    <t>フォーム→CV率（長期）</t>
  </si>
  <si>
    <t>長期利用CV（年間）</t>
  </si>
  <si>
    <t>オーガニックCVR</t>
  </si>
  <si>
    <t>現状</t>
  </si>
  <si>
    <t>0.28%</t>
  </si>
  <si>
    <t>2.97%</t>
  </si>
  <si>
    <r>
      <rPr>
        <sz val="10"/>
        <color rgb="FF1E293B"/>
        <rFont val="Meiryo UI"/>
        <family val="3"/>
        <charset val="128"/>
      </rPr>
      <t>250</t>
    </r>
    <r>
      <rPr>
        <sz val="10"/>
        <color rgb="FF1E293B"/>
        <rFont val="Noto Sans CJK SC"/>
        <family val="2"/>
      </rPr>
      <t>件</t>
    </r>
    <r>
      <rPr>
        <sz val="10"/>
        <color rgb="FF1E293B"/>
        <rFont val="Meiryo UI"/>
        <family val="3"/>
        <charset val="128"/>
      </rPr>
      <t>/</t>
    </r>
    <r>
      <rPr>
        <sz val="10"/>
        <color rgb="FF1E293B"/>
        <rFont val="Noto Sans CJK SC"/>
        <family val="2"/>
      </rPr>
      <t>年</t>
    </r>
  </si>
  <si>
    <r>
      <rPr>
        <b/>
        <sz val="10"/>
        <color rgb="FF2347A0"/>
        <rFont val="Meiryo UI"/>
        <family val="3"/>
        <charset val="128"/>
      </rPr>
      <t>1</t>
    </r>
    <r>
      <rPr>
        <b/>
        <sz val="10"/>
        <color rgb="FF2347A0"/>
        <rFont val="Noto Sans CJK SC"/>
        <family val="2"/>
      </rPr>
      <t>年後目標</t>
    </r>
  </si>
  <si>
    <t>0.65%</t>
  </si>
  <si>
    <t>10.0%</t>
  </si>
  <si>
    <r>
      <rPr>
        <b/>
        <sz val="10"/>
        <color rgb="FF2347A0"/>
        <rFont val="Meiryo UI"/>
        <family val="3"/>
        <charset val="128"/>
      </rPr>
      <t>650</t>
    </r>
    <r>
      <rPr>
        <b/>
        <sz val="10"/>
        <color rgb="FF2347A0"/>
        <rFont val="Noto Sans CJK SC"/>
        <family val="2"/>
      </rPr>
      <t>件</t>
    </r>
    <r>
      <rPr>
        <b/>
        <sz val="10"/>
        <color rgb="FF2347A0"/>
        <rFont val="Meiryo UI"/>
        <family val="3"/>
        <charset val="128"/>
      </rPr>
      <t>/</t>
    </r>
    <r>
      <rPr>
        <b/>
        <sz val="10"/>
        <color rgb="FF2347A0"/>
        <rFont val="Noto Sans CJK SC"/>
        <family val="2"/>
      </rPr>
      <t>年</t>
    </r>
  </si>
  <si>
    <r>
      <rPr>
        <b/>
        <sz val="10"/>
        <color rgb="FF2347A0"/>
        <rFont val="Meiryo UI"/>
        <family val="3"/>
        <charset val="128"/>
      </rPr>
      <t>0.20%</t>
    </r>
    <r>
      <rPr>
        <b/>
        <sz val="10"/>
        <color rgb="FF2347A0"/>
        <rFont val="Noto Sans CJK SC"/>
        <family val="2"/>
      </rPr>
      <t>以上</t>
    </r>
  </si>
  <si>
    <t>分類</t>
  </si>
  <si>
    <t>No.</t>
  </si>
  <si>
    <t>施策名</t>
  </si>
  <si>
    <t>施策の詳細内容</t>
  </si>
  <si>
    <t>期待効果・KPI</t>
  </si>
  <si>
    <t>メタ</t>
  </si>
  <si>
    <t>S0-1</t>
  </si>
  <si>
    <r>
      <rPr>
        <b/>
        <sz val="9"/>
        <color rgb="FF2347A0"/>
        <rFont val="Meiryo UI"/>
        <family val="3"/>
        <charset val="128"/>
      </rPr>
      <t>title</t>
    </r>
    <r>
      <rPr>
        <b/>
        <sz val="9"/>
        <color rgb="FF2347A0"/>
        <rFont val="Noto Sans CJK SC"/>
        <family val="2"/>
      </rPr>
      <t>・</t>
    </r>
    <r>
      <rPr>
        <b/>
        <sz val="9"/>
        <color rgb="FF2347A0"/>
        <rFont val="Meiryo UI"/>
        <family val="3"/>
        <charset val="128"/>
      </rPr>
      <t>meta description</t>
    </r>
    <r>
      <rPr>
        <b/>
        <sz val="9"/>
        <color rgb="FF2347A0"/>
        <rFont val="Noto Sans CJK SC"/>
        <family val="2"/>
      </rPr>
      <t>の
法人向け最適化</t>
    </r>
  </si>
  <si>
    <t>現状のtitle/meta descriptionは「社員寮 独身寮 マンスリーマンション『ドーミー』」という汎用訴求が中心。法人担当者が検索する意図に合った文言に変更する。
【対象ページ】/service/、/roomrent/、/form/dormitory/、/lp/longstay/ 等
【変更方針】
　・「転勤・異動の住居手配をまとめて解決」「人事・総務担当者向け」等を title に盛り込む
　・meta description に「月額9万円〜・食事付き・契約書1枚」等の差別化ポイントを含める
　・物件詳細ページは「○○駅徒歩○分・長期利用可・食事付きの社員寮」等を title に統一</t>
  </si>
  <si>
    <t>オーガニック検索CTR向上
法人意図の流入が増加
CVR改善（0.09%→0.15%以上）</t>
  </si>
  <si>
    <r>
      <rPr>
        <b/>
        <sz val="11"/>
        <color rgb="FFFFFFFF"/>
        <rFont val="Meiryo UI"/>
        <family val="3"/>
        <charset val="128"/>
      </rPr>
      <t xml:space="preserve">STEP 1  |  </t>
    </r>
    <r>
      <rPr>
        <b/>
        <sz val="11"/>
        <color rgb="FFFFFFFF"/>
        <rFont val="Noto Sans CJK SC"/>
        <family val="2"/>
      </rPr>
      <t>物件を素早く探す  —  目的の物件に最短距離で到達させる</t>
    </r>
  </si>
  <si>
    <t>検索UI</t>
  </si>
  <si>
    <t>S1-1</t>
  </si>
  <si>
    <t>駅名・沿線検索をトップ
/service/に設置</t>
  </si>
  <si>
    <r>
      <rPr>
        <sz val="9"/>
        <color rgb="FF1E293B"/>
        <rFont val="Meiryo UI"/>
        <family val="3"/>
        <charset val="128"/>
      </rPr>
      <t>/service/</t>
    </r>
    <r>
      <rPr>
        <sz val="9"/>
        <color rgb="FF1E293B"/>
        <rFont val="Noto Sans CJK SC"/>
        <family val="2"/>
      </rPr>
      <t>ページの</t>
    </r>
    <r>
      <rPr>
        <sz val="9"/>
        <color rgb="FF1E293B"/>
        <rFont val="Meiryo UI"/>
        <family val="3"/>
        <charset val="128"/>
      </rPr>
      <t>FV</t>
    </r>
    <r>
      <rPr>
        <sz val="9"/>
        <color rgb="FF1E293B"/>
        <rFont val="Noto Sans CJK SC"/>
        <family val="2"/>
      </rPr>
      <t>とトップのヘッダー直下に「最寄り駅名・沿線で探す」検索ボックスを設置。現状はトップ・</t>
    </r>
    <r>
      <rPr>
        <sz val="9"/>
        <color rgb="FF1E293B"/>
        <rFont val="Meiryo UI"/>
        <family val="3"/>
        <charset val="128"/>
      </rPr>
      <t>/service/</t>
    </r>
    <r>
      <rPr>
        <sz val="9"/>
        <color rgb="FF1E293B"/>
        <rFont val="Noto Sans CJK SC"/>
        <family val="2"/>
      </rPr>
      <t>ともに「物件検索はこちら」リンクのみで、検索ボックスが物件検索ページ（</t>
    </r>
    <r>
      <rPr>
        <sz val="9"/>
        <color rgb="FF1E293B"/>
        <rFont val="Meiryo UI"/>
        <family val="3"/>
        <charset val="128"/>
      </rPr>
      <t>/search/</t>
    </r>
    <r>
      <rPr>
        <sz val="9"/>
        <color rgb="FF1E293B"/>
        <rFont val="Noto Sans CJK SC"/>
        <family val="2"/>
      </rPr>
      <t>）内にしか存在しない。法人担当者が最初に入力するのは「品川」「渋谷」等の駅名。</t>
    </r>
  </si>
  <si>
    <t>物件検索→詳細 遷移率向上
検索離脱率の削減</t>
  </si>
  <si>
    <t>絞込み</t>
  </si>
  <si>
    <t>S1-2</t>
  </si>
  <si>
    <t>絞り込みフィルターの
条件追加</t>
  </si>
  <si>
    <t>現状の絞り込みは「エリア・都道府県」が中心で法人担当者が必要な条件が不足。
追加すべきフィルター：「長期利用可（半年以上）」「マンスリー可（1ヶ月〜）」「女性専用」「空室あり」「食事付き」。絞り込み後の件数をリアルタイム表示。</t>
  </si>
  <si>
    <t>検索結果の質向上
「合う物件がない」離脱削減</t>
  </si>
  <si>
    <t>スマホ</t>
  </si>
  <si>
    <t>S1-3</t>
  </si>
  <si>
    <t>スマホ物件一覧の
レイアウト改善</t>
  </si>
  <si>
    <t>モバイル50.6%。スマホ一覧は上部バナーで物件がFV外に押し出されミスクリック多発（既提案課題）。不要バナー削除・物件リストをFVに優先表示。タップエリアをカード全体に拡大。</t>
  </si>
  <si>
    <t>スマホ経由の物件詳細到達率向上</t>
  </si>
  <si>
    <r>
      <rPr>
        <b/>
        <sz val="11"/>
        <color rgb="FFFFFFFF"/>
        <rFont val="Meiryo UI"/>
        <family val="3"/>
        <charset val="128"/>
      </rPr>
      <t xml:space="preserve">STEP 2  |  </t>
    </r>
    <r>
      <rPr>
        <b/>
        <sz val="11"/>
        <color rgb="FFFFFFFF"/>
        <rFont val="Noto Sans CJK SC"/>
        <family val="2"/>
      </rPr>
      <t>一覧で比較する  —  複数の物件を見比べて選べるようにする</t>
    </r>
  </si>
  <si>
    <t>カード</t>
  </si>
  <si>
    <t>S2-1</t>
  </si>
  <si>
    <t>物件カードの情報充実</t>
  </si>
  <si>
    <t>現在の物件カードは「物件名・写真・住所」のみ。担当者が選ぶために必要な情報を一覧上に追加する。
【追加する情報】最寄り駅・徒歩分数、利用区分バッジ（長期可/マンスリー可）、食事有無、空室状況（リアルタイム）、月額料金帯（○万円〜）、開設・リノベ年</t>
  </si>
  <si>
    <t>一覧→詳細 遷移率+30%以上
「条件に合う物件がない」離脱削減</t>
  </si>
  <si>
    <t>S2-2</t>
  </si>
  <si>
    <t>高意欲ユーザーのCV率向上
稟議通過率の改善</t>
  </si>
  <si>
    <r>
      <rPr>
        <b/>
        <sz val="11"/>
        <color rgb="FFFFFFFF"/>
        <rFont val="Meiryo UI"/>
        <family val="3"/>
        <charset val="128"/>
      </rPr>
      <t xml:space="preserve">STEP 3  |  </t>
    </r>
    <r>
      <rPr>
        <b/>
        <sz val="11"/>
        <color rgb="FFFFFFFF"/>
        <rFont val="Noto Sans CJK SC"/>
        <family val="2"/>
      </rPr>
      <t>詳細でイメージを持つ  —  物件詳細でドーミーを選ぶ根拠を与える</t>
    </r>
  </si>
  <si>
    <t>写真</t>
  </si>
  <si>
    <t>S3-1</t>
  </si>
  <si>
    <t>フォトギャラリーの
拡大・充実</t>
  </si>
  <si>
    <t>物件詳細 滞在時間向上
食事付きの差別化訴求強化</t>
  </si>
  <si>
    <t>差別化</t>
  </si>
  <si>
    <t>S3-2</t>
  </si>
  <si>
    <t>物件詳細の
差別化ポイント明示</t>
  </si>
  <si>
    <t>物件詳細→フォーム遷移率向上
選ぶ根拠の提供・稟議通過率改善</t>
  </si>
  <si>
    <t>周辺</t>
  </si>
  <si>
    <t>S3-3</t>
  </si>
  <si>
    <t>周辺環境・生活情報の
充実</t>
  </si>
  <si>
    <t>物件詳細 滞在時間向上
地方赴任者・担当者の不安解消</t>
  </si>
  <si>
    <r>
      <rPr>
        <b/>
        <sz val="11"/>
        <color rgb="FFFFFFFF"/>
        <rFont val="Meiryo UI"/>
        <family val="3"/>
        <charset val="128"/>
      </rPr>
      <t>STEP 4  |  CV</t>
    </r>
    <r>
      <rPr>
        <b/>
        <sz val="11"/>
        <color rgb="FFFFFFFF"/>
        <rFont val="Noto Sans CJK SC"/>
        <family val="2"/>
      </rPr>
      <t>へ導く  —  長期利用・マンスリー・資料請求への明確な分岐</t>
    </r>
  </si>
  <si>
    <t>CTA</t>
  </si>
  <si>
    <t>S4-1</t>
  </si>
  <si>
    <t>物件詳細CTA
長期/マンスリー/資料の3分岐</t>
  </si>
  <si>
    <t>物件詳細→フォーム遷移率
現状の2〜3倍が目標
長期CV+50〜100件/年</t>
  </si>
  <si>
    <t>フォーム</t>
  </si>
  <si>
    <t>S4-2</t>
  </si>
  <si>
    <t>長期利用フォームの
UX最適化</t>
  </si>
  <si>
    <t>フォームCV率
4.7%→8〜10%（目標）</t>
  </si>
  <si>
    <t>計測</t>
  </si>
  <si>
    <t>S4-3</t>
  </si>
  <si>
    <r>
      <rPr>
        <b/>
        <sz val="9"/>
        <color rgb="FF2347A0"/>
        <rFont val="Meiryo UI"/>
        <family val="3"/>
        <charset val="128"/>
      </rPr>
      <t>GA4</t>
    </r>
    <r>
      <rPr>
        <b/>
        <sz val="9"/>
        <color rgb="FF2347A0"/>
        <rFont val="Noto Sans CJK SC"/>
        <family val="2"/>
      </rPr>
      <t>ファネル計測の
整備（まず現状把握）</t>
    </r>
  </si>
  <si>
    <t>施策優先順位の精度向上
改善効果の正確な測定が可能に</t>
  </si>
  <si>
    <t>ナーチャ</t>
  </si>
  <si>
    <t>S4-4</t>
  </si>
  <si>
    <t>フォーム送信後の
ナーチャリング設計</t>
  </si>
  <si>
    <t>問い合わせ→商談化率向上
長期CV→受注率↑</t>
  </si>
  <si>
    <t>補足施策  |  集客の維持・精度向上（現状維持ベース）</t>
  </si>
  <si>
    <t>広告</t>
  </si>
  <si>
    <t>Z1</t>
  </si>
  <si>
    <t>入札スケジュール最適化</t>
  </si>
  <si>
    <r>
      <rPr>
        <sz val="9"/>
        <color rgb="FF1E293B"/>
        <rFont val="Meiryo UI"/>
        <family val="3"/>
        <charset val="128"/>
      </rPr>
      <t>CV</t>
    </r>
    <r>
      <rPr>
        <sz val="9"/>
        <color rgb="FF1E293B"/>
        <rFont val="Noto Sans CJK SC"/>
        <family val="2"/>
      </rPr>
      <t>集中帯（火〜木・</t>
    </r>
    <r>
      <rPr>
        <sz val="9"/>
        <color rgb="FF1E293B"/>
        <rFont val="Meiryo UI"/>
        <family val="3"/>
        <charset val="128"/>
      </rPr>
      <t>9</t>
    </r>
    <r>
      <rPr>
        <sz val="9"/>
        <color rgb="FF1E293B"/>
        <rFont val="Noto Sans CJK SC"/>
        <family val="2"/>
      </rPr>
      <t>〜</t>
    </r>
    <r>
      <rPr>
        <sz val="9"/>
        <color rgb="FF1E293B"/>
        <rFont val="Meiryo UI"/>
        <family val="3"/>
        <charset val="128"/>
      </rPr>
      <t>17</t>
    </r>
    <r>
      <rPr>
        <sz val="9"/>
        <color rgb="FF1E293B"/>
        <rFont val="Noto Sans CJK SC"/>
        <family val="2"/>
      </rPr>
      <t>時）に入札単価</t>
    </r>
    <r>
      <rPr>
        <sz val="9"/>
        <color rgb="FF1E293B"/>
        <rFont val="Meiryo UI"/>
        <family val="3"/>
        <charset val="128"/>
      </rPr>
      <t>+30</t>
    </r>
    <r>
      <rPr>
        <sz val="9"/>
        <color rgb="FF1E293B"/>
        <rFont val="Noto Sans CJK SC"/>
        <family val="2"/>
      </rPr>
      <t>〜</t>
    </r>
    <r>
      <rPr>
        <sz val="9"/>
        <color rgb="FF1E293B"/>
        <rFont val="Meiryo UI"/>
        <family val="3"/>
        <charset val="128"/>
      </rPr>
      <t>50%</t>
    </r>
    <r>
      <rPr>
        <sz val="9"/>
        <color rgb="FF1E293B"/>
        <rFont val="Noto Sans CJK SC"/>
        <family val="2"/>
      </rPr>
      <t>。土日・深夜</t>
    </r>
    <r>
      <rPr>
        <sz val="9"/>
        <color rgb="FF1E293B"/>
        <rFont val="Meiryo UI"/>
        <family val="3"/>
        <charset val="128"/>
      </rPr>
      <t>-50</t>
    </r>
    <r>
      <rPr>
        <sz val="9"/>
        <color rgb="FF1E293B"/>
        <rFont val="Noto Sans CJK SC"/>
        <family val="2"/>
      </rPr>
      <t>〜</t>
    </r>
    <r>
      <rPr>
        <sz val="9"/>
        <color rgb="FF1E293B"/>
        <rFont val="Meiryo UI"/>
        <family val="3"/>
        <charset val="128"/>
      </rPr>
      <t>80%</t>
    </r>
    <r>
      <rPr>
        <sz val="9"/>
        <color rgb="FF1E293B"/>
        <rFont val="Noto Sans CJK SC"/>
        <family val="2"/>
      </rPr>
      <t>。同一予算で</t>
    </r>
    <r>
      <rPr>
        <sz val="9"/>
        <color rgb="FF1E293B"/>
        <rFont val="Meiryo UI"/>
        <family val="3"/>
        <charset val="128"/>
      </rPr>
      <t>CV</t>
    </r>
    <r>
      <rPr>
        <sz val="9"/>
        <color rgb="FF1E293B"/>
        <rFont val="Noto Sans CJK SC"/>
        <family val="2"/>
      </rPr>
      <t>最大化。</t>
    </r>
  </si>
  <si>
    <r>
      <rPr>
        <b/>
        <sz val="9"/>
        <color rgb="FF2347A0"/>
        <rFont val="Meiryo UI"/>
        <family val="3"/>
        <charset val="128"/>
      </rPr>
      <t>CV</t>
    </r>
    <r>
      <rPr>
        <b/>
        <sz val="9"/>
        <color rgb="FF2347A0"/>
        <rFont val="Noto Sans CJK SC"/>
        <family val="2"/>
      </rPr>
      <t>数</t>
    </r>
    <r>
      <rPr>
        <b/>
        <sz val="9"/>
        <color rgb="FF2347A0"/>
        <rFont val="Meiryo UI"/>
        <family val="3"/>
        <charset val="128"/>
      </rPr>
      <t>+20</t>
    </r>
    <r>
      <rPr>
        <b/>
        <sz val="9"/>
        <color rgb="FF2347A0"/>
        <rFont val="Noto Sans CJK SC"/>
        <family val="2"/>
      </rPr>
      <t>〜</t>
    </r>
    <r>
      <rPr>
        <b/>
        <sz val="9"/>
        <color rgb="FF2347A0"/>
        <rFont val="Meiryo UI"/>
        <family val="3"/>
        <charset val="128"/>
      </rPr>
      <t>30%</t>
    </r>
    <r>
      <rPr>
        <b/>
        <sz val="9"/>
        <color rgb="FF2347A0"/>
        <rFont val="Noto Sans CJK SC"/>
        <family val="2"/>
      </rPr>
      <t>（追加費用ゼロ）</t>
    </r>
  </si>
  <si>
    <t>流出</t>
  </si>
  <si>
    <t>Z2</t>
  </si>
  <si>
    <r>
      <rPr>
        <b/>
        <sz val="9"/>
        <color rgb="FF2347A0"/>
        <rFont val="Meiryo UI"/>
        <family val="3"/>
        <charset val="128"/>
      </rPr>
      <t>nomadormy.com</t>
    </r>
    <r>
      <rPr>
        <b/>
        <sz val="9"/>
        <color rgb="FF2347A0"/>
        <rFont val="Noto Sans CJK SC"/>
        <family val="2"/>
      </rPr>
      <t>流出の遮断</t>
    </r>
  </si>
  <si>
    <t>法人向けページからnomadormy.comへ年間19,911クリック流出。「法人はこちら」「個人はノマドーミーへ」と分岐明示。</t>
  </si>
  <si>
    <t>法人ユーザー流出防止</t>
  </si>
  <si>
    <t>コンテンツ</t>
  </si>
  <si>
    <t>Z3</t>
  </si>
  <si>
    <t>業種特化SEOコラム（月2〜3本）</t>
  </si>
  <si>
    <t>業種KWで月+300〜500セッション</t>
  </si>
  <si>
    <t>実施ロードマップ</t>
  </si>
  <si>
    <t>即時〜2週間
QUICK WIN</t>
  </si>
  <si>
    <r>
      <rPr>
        <b/>
        <sz val="9"/>
        <color rgb="FFFFFFFF"/>
        <rFont val="Meiryo UI"/>
        <family val="3"/>
        <charset val="128"/>
      </rPr>
      <t>1</t>
    </r>
    <r>
      <rPr>
        <b/>
        <sz val="9"/>
        <color rgb="FFFFFFFF"/>
        <rFont val="Noto Sans CJK SC"/>
        <family val="2"/>
      </rPr>
      <t>〜</t>
    </r>
    <r>
      <rPr>
        <b/>
        <sz val="9"/>
        <color rgb="FFFFFFFF"/>
        <rFont val="Meiryo UI"/>
        <family val="3"/>
        <charset val="128"/>
      </rPr>
      <t>2</t>
    </r>
    <r>
      <rPr>
        <b/>
        <sz val="9"/>
        <color rgb="FFFFFFFF"/>
        <rFont val="Noto Sans CJK SC"/>
        <family val="2"/>
      </rPr>
      <t xml:space="preserve">ヶ月
</t>
    </r>
    <r>
      <rPr>
        <b/>
        <sz val="9"/>
        <color rgb="FFFFFFFF"/>
        <rFont val="Meiryo UI"/>
        <family val="3"/>
        <charset val="128"/>
      </rPr>
      <t>CORE IMPACT</t>
    </r>
  </si>
  <si>
    <r>
      <rPr>
        <b/>
        <sz val="9"/>
        <color rgb="FFFFFFFF"/>
        <rFont val="Meiryo UI"/>
        <family val="3"/>
        <charset val="128"/>
      </rPr>
      <t>2</t>
    </r>
    <r>
      <rPr>
        <b/>
        <sz val="9"/>
        <color rgb="FFFFFFFF"/>
        <rFont val="Noto Sans CJK SC"/>
        <family val="2"/>
      </rPr>
      <t>〜</t>
    </r>
    <r>
      <rPr>
        <b/>
        <sz val="9"/>
        <color rgb="FFFFFFFF"/>
        <rFont val="Meiryo UI"/>
        <family val="3"/>
        <charset val="128"/>
      </rPr>
      <t>3</t>
    </r>
    <r>
      <rPr>
        <b/>
        <sz val="9"/>
        <color rgb="FFFFFFFF"/>
        <rFont val="Noto Sans CJK SC"/>
        <family val="2"/>
      </rPr>
      <t xml:space="preserve">ヶ月
</t>
    </r>
    <r>
      <rPr>
        <b/>
        <sz val="9"/>
        <color rgb="FFFFFFFF"/>
        <rFont val="Meiryo UI"/>
        <family val="3"/>
        <charset val="128"/>
      </rPr>
      <t>QUALITY UP</t>
    </r>
  </si>
  <si>
    <r>
      <rPr>
        <sz val="9"/>
        <color rgb="FF1E293B"/>
        <rFont val="Meiryo UI"/>
        <family val="3"/>
        <charset val="128"/>
      </rPr>
      <t>S0-3 GSC</t>
    </r>
    <r>
      <rPr>
        <sz val="9"/>
        <color rgb="FF1E293B"/>
        <rFont val="Noto Sans CJK SC"/>
        <family val="2"/>
      </rPr>
      <t>データ分析・</t>
    </r>
    <r>
      <rPr>
        <sz val="9"/>
        <color rgb="FF1E293B"/>
        <rFont val="Meiryo UI"/>
        <family val="3"/>
        <charset val="128"/>
      </rPr>
      <t>title</t>
    </r>
    <r>
      <rPr>
        <sz val="9"/>
        <color rgb="FF1E293B"/>
        <rFont val="Noto Sans CJK SC"/>
        <family val="2"/>
      </rPr>
      <t xml:space="preserve">改善（内部対応）
</t>
    </r>
    <r>
      <rPr>
        <sz val="9"/>
        <color rgb="FF1E293B"/>
        <rFont val="Meiryo UI"/>
        <family val="3"/>
        <charset val="128"/>
      </rPr>
      <t>S4-3 GA4</t>
    </r>
    <r>
      <rPr>
        <sz val="9"/>
        <color rgb="FF1E293B"/>
        <rFont val="Noto Sans CJK SC"/>
        <family val="2"/>
      </rPr>
      <t xml:space="preserve">ファネル計測整備（無料）
</t>
    </r>
    <r>
      <rPr>
        <sz val="9"/>
        <color rgb="FF1E293B"/>
        <rFont val="Meiryo UI"/>
        <family val="3"/>
        <charset val="128"/>
      </rPr>
      <t xml:space="preserve">S4-3 Microsoft Clarity </t>
    </r>
    <r>
      <rPr>
        <sz val="9"/>
        <color rgb="FF1E293B"/>
        <rFont val="Noto Sans CJK SC"/>
        <family val="2"/>
      </rPr>
      <t xml:space="preserve">設置（無料）
</t>
    </r>
    <r>
      <rPr>
        <sz val="9"/>
        <color rgb="FF1E293B"/>
        <rFont val="Meiryo UI"/>
        <family val="3"/>
        <charset val="128"/>
      </rPr>
      <t xml:space="preserve">Z1   </t>
    </r>
    <r>
      <rPr>
        <sz val="9"/>
        <color rgb="FF1E293B"/>
        <rFont val="Noto Sans CJK SC"/>
        <family val="2"/>
      </rPr>
      <t xml:space="preserve">入札スケジュール最適化（追加費用ゼロ）
</t>
    </r>
    <r>
      <rPr>
        <sz val="9"/>
        <color rgb="FF1E293B"/>
        <rFont val="Meiryo UI"/>
        <family val="3"/>
        <charset val="128"/>
      </rPr>
      <t>Z2   nomadormy.com</t>
    </r>
    <r>
      <rPr>
        <sz val="9"/>
        <color rgb="FF1E293B"/>
        <rFont val="Noto Sans CJK SC"/>
        <family val="2"/>
      </rPr>
      <t>流出遮断（保守範囲）</t>
    </r>
  </si>
  <si>
    <r>
      <rPr>
        <sz val="9"/>
        <color rgb="FF1E293B"/>
        <rFont val="Meiryo UI"/>
        <family val="3"/>
        <charset val="128"/>
      </rPr>
      <t>S0-1 title</t>
    </r>
    <r>
      <rPr>
        <sz val="9"/>
        <color rgb="FF1E293B"/>
        <rFont val="Noto Sans CJK SC"/>
        <family val="2"/>
      </rPr>
      <t>・</t>
    </r>
    <r>
      <rPr>
        <sz val="9"/>
        <color rgb="FF1E293B"/>
        <rFont val="Meiryo UI"/>
        <family val="3"/>
        <charset val="128"/>
      </rPr>
      <t>meta description</t>
    </r>
    <r>
      <rPr>
        <sz val="9"/>
        <color rgb="FF1E293B"/>
        <rFont val="Noto Sans CJK SC"/>
        <family val="2"/>
      </rPr>
      <t xml:space="preserve">最適化
</t>
    </r>
    <r>
      <rPr>
        <sz val="9"/>
        <color rgb="FF1E293B"/>
        <rFont val="Meiryo UI"/>
        <family val="3"/>
        <charset val="128"/>
      </rPr>
      <t xml:space="preserve">S0-4 </t>
    </r>
    <r>
      <rPr>
        <sz val="9"/>
        <color rgb="FF1E293B"/>
        <rFont val="Noto Sans CJK SC"/>
        <family val="2"/>
      </rPr>
      <t>検索意図別</t>
    </r>
    <r>
      <rPr>
        <sz val="9"/>
        <color rgb="FF1E293B"/>
        <rFont val="Meiryo UI"/>
        <family val="3"/>
        <charset val="128"/>
      </rPr>
      <t>LP</t>
    </r>
    <r>
      <rPr>
        <sz val="9"/>
        <color rgb="FF1E293B"/>
        <rFont val="Noto Sans CJK SC"/>
        <family val="2"/>
      </rPr>
      <t xml:space="preserve">最適化
</t>
    </r>
    <r>
      <rPr>
        <sz val="9"/>
        <color rgb="FF1E293B"/>
        <rFont val="Meiryo UI"/>
        <family val="3"/>
        <charset val="128"/>
      </rPr>
      <t xml:space="preserve">S1-1 </t>
    </r>
    <r>
      <rPr>
        <sz val="9"/>
        <color rgb="FF1E293B"/>
        <rFont val="Noto Sans CJK SC"/>
        <family val="2"/>
      </rPr>
      <t>駅名検索</t>
    </r>
    <r>
      <rPr>
        <sz val="9"/>
        <color rgb="FF1E293B"/>
        <rFont val="Meiryo UI"/>
        <family val="3"/>
        <charset val="128"/>
      </rPr>
      <t>FV</t>
    </r>
    <r>
      <rPr>
        <sz val="9"/>
        <color rgb="FF1E293B"/>
        <rFont val="Noto Sans CJK SC"/>
        <family val="2"/>
      </rPr>
      <t xml:space="preserve">設置
</t>
    </r>
    <r>
      <rPr>
        <sz val="9"/>
        <color rgb="FF1E293B"/>
        <rFont val="Meiryo UI"/>
        <family val="3"/>
        <charset val="128"/>
      </rPr>
      <t xml:space="preserve">S1-3 </t>
    </r>
    <r>
      <rPr>
        <sz val="9"/>
        <color rgb="FF1E293B"/>
        <rFont val="Noto Sans CJK SC"/>
        <family val="2"/>
      </rPr>
      <t xml:space="preserve">スマホ物件一覧改善
</t>
    </r>
    <r>
      <rPr>
        <sz val="9"/>
        <color rgb="FF1E293B"/>
        <rFont val="Meiryo UI"/>
        <family val="3"/>
        <charset val="128"/>
      </rPr>
      <t xml:space="preserve">S2-1 </t>
    </r>
    <r>
      <rPr>
        <sz val="9"/>
        <color rgb="FF1E293B"/>
        <rFont val="Noto Sans CJK SC"/>
        <family val="2"/>
      </rPr>
      <t xml:space="preserve">物件カード情報充実
</t>
    </r>
    <r>
      <rPr>
        <sz val="9"/>
        <color rgb="FF1E293B"/>
        <rFont val="Meiryo UI"/>
        <family val="3"/>
        <charset val="128"/>
      </rPr>
      <t xml:space="preserve">S3-1 </t>
    </r>
    <r>
      <rPr>
        <sz val="9"/>
        <color rgb="FF1E293B"/>
        <rFont val="Noto Sans CJK SC"/>
        <family val="2"/>
      </rPr>
      <t xml:space="preserve">フォトギャラリー拡大
</t>
    </r>
    <r>
      <rPr>
        <sz val="9"/>
        <color rgb="FF1E293B"/>
        <rFont val="Meiryo UI"/>
        <family val="3"/>
        <charset val="128"/>
      </rPr>
      <t xml:space="preserve">S3-2 </t>
    </r>
    <r>
      <rPr>
        <sz val="9"/>
        <color rgb="FF1E293B"/>
        <rFont val="Noto Sans CJK SC"/>
        <family val="2"/>
      </rPr>
      <t xml:space="preserve">物件詳細 差別化明示
</t>
    </r>
    <r>
      <rPr>
        <sz val="9"/>
        <color rgb="FF1E293B"/>
        <rFont val="Meiryo UI"/>
        <family val="3"/>
        <charset val="128"/>
      </rPr>
      <t xml:space="preserve">S4-1 </t>
    </r>
    <r>
      <rPr>
        <sz val="9"/>
        <color rgb="FF1E293B"/>
        <rFont val="Noto Sans CJK SC"/>
        <family val="2"/>
      </rPr>
      <t>物件詳細</t>
    </r>
    <r>
      <rPr>
        <sz val="9"/>
        <color rgb="FF1E293B"/>
        <rFont val="Meiryo UI"/>
        <family val="3"/>
        <charset val="128"/>
      </rPr>
      <t>CTA 3</t>
    </r>
    <r>
      <rPr>
        <sz val="9"/>
        <color rgb="FF1E293B"/>
        <rFont val="Noto Sans CJK SC"/>
        <family val="2"/>
      </rPr>
      <t xml:space="preserve">分岐
</t>
    </r>
    <r>
      <rPr>
        <sz val="9"/>
        <color rgb="FF1E293B"/>
        <rFont val="Meiryo UI"/>
        <family val="3"/>
        <charset val="128"/>
      </rPr>
      <t xml:space="preserve">S4-2 </t>
    </r>
    <r>
      <rPr>
        <sz val="9"/>
        <color rgb="FF1E293B"/>
        <rFont val="Noto Sans CJK SC"/>
        <family val="2"/>
      </rPr>
      <t>長期フォーム</t>
    </r>
    <r>
      <rPr>
        <sz val="9"/>
        <color rgb="FF1E293B"/>
        <rFont val="Meiryo UI"/>
        <family val="3"/>
        <charset val="128"/>
      </rPr>
      <t>UX</t>
    </r>
    <r>
      <rPr>
        <sz val="9"/>
        <color rgb="FF1E293B"/>
        <rFont val="Noto Sans CJK SC"/>
        <family val="2"/>
      </rPr>
      <t>最適化</t>
    </r>
  </si>
  <si>
    <r>
      <rPr>
        <sz val="9"/>
        <color rgb="FF1E293B"/>
        <rFont val="Meiryo UI"/>
        <family val="3"/>
        <charset val="128"/>
      </rPr>
      <t xml:space="preserve">S0-2 </t>
    </r>
    <r>
      <rPr>
        <sz val="9"/>
        <color rgb="FF1E293B"/>
        <rFont val="Noto Sans CJK SC"/>
        <family val="2"/>
      </rPr>
      <t xml:space="preserve">構造化データ実装
</t>
    </r>
    <r>
      <rPr>
        <sz val="9"/>
        <color rgb="FF1E293B"/>
        <rFont val="Meiryo UI"/>
        <family val="3"/>
        <charset val="128"/>
      </rPr>
      <t xml:space="preserve">S1-2 </t>
    </r>
    <r>
      <rPr>
        <sz val="9"/>
        <color rgb="FF1E293B"/>
        <rFont val="Noto Sans CJK SC"/>
        <family val="2"/>
      </rPr>
      <t xml:space="preserve">絞り込みフィルター追加
</t>
    </r>
    <r>
      <rPr>
        <sz val="9"/>
        <color rgb="FF1E293B"/>
        <rFont val="Meiryo UI"/>
        <family val="3"/>
        <charset val="128"/>
      </rPr>
      <t xml:space="preserve">S2-2 </t>
    </r>
    <r>
      <rPr>
        <sz val="9"/>
        <color rgb="FF1E293B"/>
        <rFont val="Noto Sans CJK SC"/>
        <family val="2"/>
      </rPr>
      <t xml:space="preserve">物件比較機能
</t>
    </r>
    <r>
      <rPr>
        <sz val="9"/>
        <color rgb="FF1E293B"/>
        <rFont val="Meiryo UI"/>
        <family val="3"/>
        <charset val="128"/>
      </rPr>
      <t xml:space="preserve">S3-3 </t>
    </r>
    <r>
      <rPr>
        <sz val="9"/>
        <color rgb="FF1E293B"/>
        <rFont val="Noto Sans CJK SC"/>
        <family val="2"/>
      </rPr>
      <t xml:space="preserve">周辺環境・生活情報
</t>
    </r>
    <r>
      <rPr>
        <sz val="9"/>
        <color rgb="FF1E293B"/>
        <rFont val="Meiryo UI"/>
        <family val="3"/>
        <charset val="128"/>
      </rPr>
      <t xml:space="preserve">S4-4 </t>
    </r>
    <r>
      <rPr>
        <sz val="9"/>
        <color rgb="FF1E293B"/>
        <rFont val="Noto Sans CJK SC"/>
        <family val="2"/>
      </rPr>
      <t xml:space="preserve">サンクスページ・ナーチャリング
</t>
    </r>
    <r>
      <rPr>
        <sz val="9"/>
        <color rgb="FF1E293B"/>
        <rFont val="Meiryo UI"/>
        <family val="3"/>
        <charset val="128"/>
      </rPr>
      <t xml:space="preserve">Z3   </t>
    </r>
    <r>
      <rPr>
        <sz val="9"/>
        <color rgb="FF1E293B"/>
        <rFont val="Noto Sans CJK SC"/>
        <family val="2"/>
      </rPr>
      <t>業種特化コラム開始</t>
    </r>
  </si>
  <si>
    <r>
      <rPr>
        <sz val="9"/>
        <color rgb="FF2347A0"/>
        <rFont val="ＭＳ ゴシック"/>
        <family val="3"/>
        <charset val="128"/>
      </rPr>
      <t>【インサイト】　</t>
    </r>
    <r>
      <rPr>
        <sz val="9"/>
        <color rgb="FF2347A0"/>
        <rFont val="Arial"/>
        <family val="2"/>
      </rPr>
      <t>CV</t>
    </r>
    <r>
      <rPr>
        <sz val="9"/>
        <color rgb="FF2347A0"/>
        <rFont val="ＭＳ ゴシック"/>
        <family val="3"/>
        <charset val="128"/>
      </rPr>
      <t>は火〜木・</t>
    </r>
    <r>
      <rPr>
        <sz val="9"/>
        <color rgb="FF2347A0"/>
        <rFont val="Arial"/>
        <family val="2"/>
      </rPr>
      <t>9</t>
    </r>
    <r>
      <rPr>
        <sz val="9"/>
        <color rgb="FF2347A0"/>
        <rFont val="ＭＳ ゴシック"/>
        <family val="3"/>
        <charset val="128"/>
      </rPr>
      <t>〜</t>
    </r>
    <r>
      <rPr>
        <sz val="9"/>
        <color rgb="FF2347A0"/>
        <rFont val="Arial"/>
        <family val="2"/>
      </rPr>
      <t>17</t>
    </r>
    <r>
      <rPr>
        <sz val="9"/>
        <color rgb="FF2347A0"/>
        <rFont val="ＭＳ ゴシック"/>
        <family val="3"/>
        <charset val="128"/>
      </rPr>
      <t>時に全体の約</t>
    </r>
    <r>
      <rPr>
        <sz val="9"/>
        <color rgb="FF2347A0"/>
        <rFont val="Arial"/>
        <family val="2"/>
      </rPr>
      <t>65%</t>
    </r>
    <r>
      <rPr>
        <sz val="9"/>
        <color rgb="FF2347A0"/>
        <rFont val="ＭＳ ゴシック"/>
        <family val="3"/>
        <charset val="128"/>
      </rPr>
      <t>が集中。</t>
    </r>
    <r>
      <rPr>
        <sz val="9"/>
        <color rgb="FF2347A0"/>
        <rFont val="Arial"/>
        <family val="2"/>
      </rPr>
      <t>BtoB</t>
    </r>
    <r>
      <rPr>
        <sz val="9"/>
        <color rgb="FF2347A0"/>
        <rFont val="ＭＳ ゴシック"/>
        <family val="3"/>
        <charset val="128"/>
      </rPr>
      <t>行動そのもの。</t>
    </r>
    <phoneticPr fontId="42"/>
  </si>
  <si>
    <r>
      <rPr>
        <sz val="9"/>
        <color rgb="FF2347A0"/>
        <rFont val="ＭＳ ゴシック"/>
        <family val="3"/>
        <charset val="128"/>
      </rPr>
      <t>戦略方針：</t>
    </r>
    <r>
      <rPr>
        <sz val="9"/>
        <color rgb="FF2347A0"/>
        <rFont val="Arial"/>
        <family val="2"/>
      </rPr>
      <t>SEO</t>
    </r>
    <r>
      <rPr>
        <sz val="9"/>
        <color rgb="FF2347A0"/>
        <rFont val="ＭＳ ゴシック"/>
        <family val="3"/>
        <charset val="128"/>
      </rPr>
      <t>・広告による集客は一定水準を確保済。改善の主軸は「サイト内での転換」。
ただしオーガニック検索</t>
    </r>
    <r>
      <rPr>
        <sz val="9"/>
        <color rgb="FF2347A0"/>
        <rFont val="Arial"/>
        <family val="2"/>
      </rPr>
      <t>CVR</t>
    </r>
    <r>
      <rPr>
        <sz val="9"/>
        <color rgb="FF2347A0"/>
        <rFont val="ＭＳ ゴシック"/>
        <family val="3"/>
        <charset val="128"/>
      </rPr>
      <t>は</t>
    </r>
    <r>
      <rPr>
        <sz val="9"/>
        <color rgb="FF2347A0"/>
        <rFont val="Arial"/>
        <family val="2"/>
      </rPr>
      <t>0.09%</t>
    </r>
    <r>
      <rPr>
        <sz val="9"/>
        <color rgb="FF2347A0"/>
        <rFont val="ＭＳ ゴシック"/>
        <family val="3"/>
        <charset val="128"/>
      </rPr>
      <t>（リスティング</t>
    </r>
    <r>
      <rPr>
        <sz val="9"/>
        <color rgb="FF2347A0"/>
        <rFont val="Arial"/>
        <family val="2"/>
      </rPr>
      <t>0.33%</t>
    </r>
    <r>
      <rPr>
        <sz val="9"/>
        <color rgb="FF2347A0"/>
        <rFont val="ＭＳ ゴシック"/>
        <family val="3"/>
        <charset val="128"/>
      </rPr>
      <t>の</t>
    </r>
    <r>
      <rPr>
        <sz val="9"/>
        <color rgb="FF2347A0"/>
        <rFont val="Arial"/>
        <family val="2"/>
      </rPr>
      <t>4</t>
    </r>
    <r>
      <rPr>
        <sz val="9"/>
        <color rgb="FF2347A0"/>
        <rFont val="ＭＳ ゴシック"/>
        <family val="3"/>
        <charset val="128"/>
      </rPr>
      <t>分の</t>
    </r>
    <r>
      <rPr>
        <sz val="9"/>
        <color rgb="FF2347A0"/>
        <rFont val="Arial"/>
        <family val="2"/>
      </rPr>
      <t>1</t>
    </r>
    <r>
      <rPr>
        <sz val="9"/>
        <color rgb="FF2347A0"/>
        <rFont val="ＭＳ ゴシック"/>
        <family val="3"/>
        <charset val="128"/>
      </rPr>
      <t xml:space="preserve">以下）で改善余地が大きいため、
</t>
    </r>
    <r>
      <rPr>
        <sz val="9"/>
        <color rgb="FF2347A0"/>
        <rFont val="Arial"/>
        <family val="2"/>
      </rPr>
      <t>STEP 0</t>
    </r>
    <r>
      <rPr>
        <sz val="9"/>
        <color rgb="FF2347A0"/>
        <rFont val="ＭＳ ゴシック"/>
        <family val="3"/>
        <charset val="128"/>
      </rPr>
      <t>として検索流入の質向上（</t>
    </r>
    <r>
      <rPr>
        <sz val="9"/>
        <color rgb="FF2347A0"/>
        <rFont val="Arial"/>
        <family val="2"/>
      </rPr>
      <t>CTR</t>
    </r>
    <r>
      <rPr>
        <sz val="9"/>
        <color rgb="FF2347A0"/>
        <rFont val="ＭＳ ゴシック"/>
        <family val="3"/>
        <charset val="128"/>
      </rPr>
      <t>改善）も主軸に追加する。</t>
    </r>
    <phoneticPr fontId="42"/>
  </si>
  <si>
    <r>
      <t>STEP 0｜</t>
    </r>
    <r>
      <rPr>
        <b/>
        <sz val="11"/>
        <color rgb="FFFFFFFF"/>
        <rFont val="ＭＳ ゴシック"/>
        <family val="3"/>
        <charset val="128"/>
      </rPr>
      <t>検索流入の質を高める（</t>
    </r>
    <r>
      <rPr>
        <b/>
        <sz val="11"/>
        <color rgb="FFFFFFFF"/>
        <rFont val="Meiryo UI"/>
        <family val="3"/>
        <charset val="128"/>
      </rPr>
      <t>CTR</t>
    </r>
    <r>
      <rPr>
        <b/>
        <sz val="11"/>
        <color rgb="FFFFFFFF"/>
        <rFont val="ＭＳ ゴシック"/>
        <family val="3"/>
        <charset val="128"/>
      </rPr>
      <t xml:space="preserve">改善）
</t>
    </r>
    <r>
      <rPr>
        <sz val="11"/>
        <color rgb="FFFFFFFF"/>
        <rFont val="ＭＳ ゴシック"/>
        <family val="3"/>
        <charset val="128"/>
      </rPr>
      <t>オーガニック検索</t>
    </r>
    <r>
      <rPr>
        <sz val="11"/>
        <color rgb="FFFFFFFF"/>
        <rFont val="Meiryo UI"/>
        <family val="3"/>
        <charset val="128"/>
      </rPr>
      <t>CVR 0.09%</t>
    </r>
    <r>
      <rPr>
        <sz val="11"/>
        <color rgb="FFFFFFFF"/>
        <rFont val="ＭＳ ゴシック"/>
        <family val="3"/>
        <charset val="128"/>
      </rPr>
      <t>（リスティング</t>
    </r>
    <r>
      <rPr>
        <sz val="11"/>
        <color rgb="FFFFFFFF"/>
        <rFont val="Meiryo UI"/>
        <family val="3"/>
        <charset val="128"/>
      </rPr>
      <t>0.33%</t>
    </r>
    <r>
      <rPr>
        <sz val="11"/>
        <color rgb="FFFFFFFF"/>
        <rFont val="ＭＳ ゴシック"/>
        <family val="3"/>
        <charset val="128"/>
      </rPr>
      <t>の</t>
    </r>
    <r>
      <rPr>
        <sz val="11"/>
        <color rgb="FFFFFFFF"/>
        <rFont val="Meiryo UI"/>
        <family val="3"/>
        <charset val="128"/>
      </rPr>
      <t>4</t>
    </r>
    <r>
      <rPr>
        <sz val="11"/>
        <color rgb="FFFFFFFF"/>
        <rFont val="ＭＳ ゴシック"/>
        <family val="3"/>
        <charset val="128"/>
      </rPr>
      <t>分の</t>
    </r>
    <r>
      <rPr>
        <sz val="11"/>
        <color rgb="FFFFFFFF"/>
        <rFont val="Meiryo UI"/>
        <family val="3"/>
        <charset val="128"/>
      </rPr>
      <t>1</t>
    </r>
    <r>
      <rPr>
        <sz val="11"/>
        <color rgb="FFFFFFFF"/>
        <rFont val="ＭＳ ゴシック"/>
        <family val="3"/>
        <charset val="128"/>
      </rPr>
      <t>以下）を改善する。集客量より「検索意図に合った質の高い流入」を増やし、同じ訪問者数でも</t>
    </r>
    <r>
      <rPr>
        <sz val="11"/>
        <color rgb="FFFFFFFF"/>
        <rFont val="Meiryo UI"/>
        <family val="3"/>
        <charset val="128"/>
      </rPr>
      <t>CV</t>
    </r>
    <r>
      <rPr>
        <sz val="11"/>
        <color rgb="FFFFFFFF"/>
        <rFont val="ＭＳ ゴシック"/>
        <family val="3"/>
        <charset val="128"/>
      </rPr>
      <t>を増やす。特に</t>
    </r>
    <r>
      <rPr>
        <sz val="11"/>
        <color rgb="FFFFFFFF"/>
        <rFont val="Meiryo UI"/>
        <family val="3"/>
        <charset val="128"/>
      </rPr>
      <t>GSC</t>
    </r>
    <r>
      <rPr>
        <sz val="11"/>
        <color rgb="FFFFFFFF"/>
        <rFont val="ＭＳ ゴシック"/>
        <family val="3"/>
        <charset val="128"/>
      </rPr>
      <t>で表示回数は多いが</t>
    </r>
    <r>
      <rPr>
        <sz val="11"/>
        <color rgb="FFFFFFFF"/>
        <rFont val="Meiryo UI"/>
        <family val="3"/>
        <charset val="128"/>
      </rPr>
      <t>CTR</t>
    </r>
    <r>
      <rPr>
        <sz val="11"/>
        <color rgb="FFFFFFFF"/>
        <rFont val="ＭＳ ゴシック"/>
        <family val="3"/>
        <charset val="128"/>
      </rPr>
      <t>・</t>
    </r>
    <r>
      <rPr>
        <sz val="11"/>
        <color rgb="FFFFFFFF"/>
        <rFont val="Meiryo UI"/>
        <family val="3"/>
        <charset val="128"/>
      </rPr>
      <t>CVR</t>
    </r>
    <r>
      <rPr>
        <sz val="11"/>
        <color rgb="FFFFFFFF"/>
        <rFont val="ＭＳ ゴシック"/>
        <family val="3"/>
        <charset val="128"/>
      </rPr>
      <t>が低いページが多数存在する。</t>
    </r>
    <phoneticPr fontId="42"/>
  </si>
  <si>
    <r>
      <rPr>
        <sz val="9"/>
        <color rgb="FF1E293B"/>
        <rFont val="ＭＳ ゴシック"/>
        <family val="3"/>
        <charset val="128"/>
      </rPr>
      <t>「建設業</t>
    </r>
    <r>
      <rPr>
        <sz val="9"/>
        <color rgb="FF1E293B"/>
        <rFont val="Arial"/>
        <family val="2"/>
      </rPr>
      <t xml:space="preserve"> </t>
    </r>
    <r>
      <rPr>
        <sz val="9"/>
        <color rgb="FF1E293B"/>
        <rFont val="ＭＳ ゴシック"/>
        <family val="3"/>
        <charset val="128"/>
      </rPr>
      <t>施工管理</t>
    </r>
    <r>
      <rPr>
        <sz val="9"/>
        <color rgb="FF1E293B"/>
        <rFont val="Arial"/>
        <family val="2"/>
      </rPr>
      <t xml:space="preserve"> </t>
    </r>
    <r>
      <rPr>
        <sz val="9"/>
        <color rgb="FF1E293B"/>
        <rFont val="ＭＳ ゴシック"/>
        <family val="3"/>
        <charset val="128"/>
      </rPr>
      <t>社員寮」「銀行</t>
    </r>
    <r>
      <rPr>
        <sz val="9"/>
        <color rgb="FF1E293B"/>
        <rFont val="Arial"/>
        <family val="2"/>
      </rPr>
      <t xml:space="preserve"> </t>
    </r>
    <r>
      <rPr>
        <sz val="9"/>
        <color rgb="FF1E293B"/>
        <rFont val="ＭＳ ゴシック"/>
        <family val="3"/>
        <charset val="128"/>
      </rPr>
      <t>転勤</t>
    </r>
    <r>
      <rPr>
        <sz val="9"/>
        <color rgb="FF1E293B"/>
        <rFont val="Arial"/>
        <family val="2"/>
      </rPr>
      <t xml:space="preserve"> </t>
    </r>
    <r>
      <rPr>
        <sz val="9"/>
        <color rgb="FF1E293B"/>
        <rFont val="ＭＳ ゴシック"/>
        <family val="3"/>
        <charset val="128"/>
      </rPr>
      <t>住居</t>
    </r>
    <r>
      <rPr>
        <sz val="9"/>
        <color rgb="FF1E293B"/>
        <rFont val="Arial"/>
        <family val="2"/>
      </rPr>
      <t xml:space="preserve"> </t>
    </r>
    <r>
      <rPr>
        <sz val="9"/>
        <color rgb="FF1E293B"/>
        <rFont val="ＭＳ ゴシック"/>
        <family val="3"/>
        <charset val="128"/>
      </rPr>
      <t>手配」等のロングテール</t>
    </r>
    <r>
      <rPr>
        <sz val="9"/>
        <color rgb="FF1E293B"/>
        <rFont val="Arial"/>
        <family val="2"/>
      </rPr>
      <t>KW</t>
    </r>
    <r>
      <rPr>
        <sz val="9"/>
        <color rgb="FF1E293B"/>
        <rFont val="ＭＳ ゴシック"/>
        <family val="3"/>
        <charset val="128"/>
      </rPr>
      <t>コラムを継続追加。</t>
    </r>
    <phoneticPr fontId="42"/>
  </si>
  <si>
    <r>
      <t>BtoB</t>
    </r>
    <r>
      <rPr>
        <sz val="9"/>
        <color rgb="FF1E293B"/>
        <rFont val="ＭＳ ゴシック"/>
        <family val="3"/>
        <charset val="128"/>
      </rPr>
      <t>長期利用は複数人（人事・総務・経理）が関与し意思決定に時間がかかる。
【設計内容】サンクスページに導入事例</t>
    </r>
    <r>
      <rPr>
        <sz val="9"/>
        <color rgb="FF1E293B"/>
        <rFont val="Meiryo UI"/>
        <family val="3"/>
        <charset val="128"/>
      </rPr>
      <t>PDF</t>
    </r>
    <r>
      <rPr>
        <sz val="9"/>
        <color rgb="FF1E293B"/>
        <rFont val="ＭＳ ゴシック"/>
        <family val="3"/>
        <charset val="128"/>
      </rPr>
      <t>・料金比較表リンクを設置。自動返信メールに</t>
    </r>
    <r>
      <rPr>
        <sz val="9"/>
        <color rgb="FF1E293B"/>
        <rFont val="Meiryo UI"/>
        <family val="3"/>
        <charset val="128"/>
      </rPr>
      <t>FAQ TOP5</t>
    </r>
    <r>
      <rPr>
        <sz val="9"/>
        <color rgb="FF1E293B"/>
        <rFont val="ＭＳ ゴシック"/>
        <family val="3"/>
        <charset val="128"/>
      </rPr>
      <t>・見学予約リンクを追加。</t>
    </r>
    <r>
      <rPr>
        <sz val="9"/>
        <color rgb="FF1E293B"/>
        <rFont val="Meiryo UI"/>
        <family val="3"/>
        <charset val="128"/>
      </rPr>
      <t>3</t>
    </r>
    <r>
      <rPr>
        <sz val="9"/>
        <color rgb="FF1E293B"/>
        <rFont val="ＭＳ ゴシック"/>
        <family val="3"/>
        <charset val="128"/>
      </rPr>
      <t>日後・</t>
    </r>
    <r>
      <rPr>
        <sz val="9"/>
        <color rgb="FF1E293B"/>
        <rFont val="Meiryo UI"/>
        <family val="3"/>
        <charset val="128"/>
      </rPr>
      <t>7</t>
    </r>
    <r>
      <rPr>
        <sz val="9"/>
        <color rgb="FF1E293B"/>
        <rFont val="ＭＳ ゴシック"/>
        <family val="3"/>
        <charset val="128"/>
      </rPr>
      <t>日後のフォローメール設計。建設・金融業キーワードがあれば業種別提案資料を自動送付。</t>
    </r>
    <phoneticPr fontId="42"/>
  </si>
  <si>
    <r>
      <rPr>
        <sz val="9"/>
        <color rgb="FF1E293B"/>
        <rFont val="ＭＳ ゴシック"/>
        <family val="3"/>
        <charset val="128"/>
      </rPr>
      <t>「物件検索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ＭＳ ゴシック"/>
        <family val="3"/>
        <charset val="128"/>
      </rPr>
      <t>一覧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ＭＳ ゴシック"/>
        <family val="3"/>
        <charset val="128"/>
      </rPr>
      <t>詳細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ＭＳ ゴシック"/>
        <family val="3"/>
        <charset val="128"/>
      </rPr>
      <t>フォーム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ＭＳ ゴシック"/>
        <family val="3"/>
        <charset val="128"/>
      </rPr>
      <t>完了」の各ステップ離脱率が正確に計測されていない。
①</t>
    </r>
    <r>
      <rPr>
        <sz val="9"/>
        <color rgb="FF1E293B"/>
        <rFont val="Arial"/>
        <family val="2"/>
      </rPr>
      <t xml:space="preserve"> GA4</t>
    </r>
    <r>
      <rPr>
        <sz val="9"/>
        <color rgb="FF1E293B"/>
        <rFont val="ＭＳ ゴシック"/>
        <family val="3"/>
        <charset val="128"/>
      </rPr>
      <t>カスタムファネル設定：</t>
    </r>
    <r>
      <rPr>
        <sz val="9"/>
        <color rgb="FF1E293B"/>
        <rFont val="Arial"/>
        <family val="2"/>
      </rPr>
      <t>/search/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Arial"/>
        <family val="2"/>
      </rPr>
      <t>/placehall/.../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Arial"/>
        <family val="2"/>
      </rPr>
      <t>/form/dormitory/ or /form/monthly/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ＭＳ ゴシック"/>
        <family val="3"/>
        <charset val="128"/>
      </rPr>
      <t>完了
②</t>
    </r>
    <r>
      <rPr>
        <sz val="9"/>
        <color rgb="FF1E293B"/>
        <rFont val="Arial"/>
        <family val="2"/>
      </rPr>
      <t xml:space="preserve"> </t>
    </r>
    <r>
      <rPr>
        <sz val="9"/>
        <color rgb="FF1E293B"/>
        <rFont val="ＭＳ ゴシック"/>
        <family val="3"/>
        <charset val="128"/>
      </rPr>
      <t>物件詳細の</t>
    </r>
    <r>
      <rPr>
        <sz val="9"/>
        <color rgb="FF1E293B"/>
        <rFont val="Arial"/>
        <family val="2"/>
      </rPr>
      <t>CTA</t>
    </r>
    <r>
      <rPr>
        <sz val="9"/>
        <color rgb="FF1E293B"/>
        <rFont val="ＭＳ ゴシック"/>
        <family val="3"/>
        <charset val="128"/>
      </rPr>
      <t>ボタンクリックを</t>
    </r>
    <r>
      <rPr>
        <sz val="9"/>
        <color rgb="FF1E293B"/>
        <rFont val="Arial"/>
        <family val="2"/>
      </rPr>
      <t>GA4</t>
    </r>
    <r>
      <rPr>
        <sz val="9"/>
        <color rgb="FF1E293B"/>
        <rFont val="ＭＳ ゴシック"/>
        <family val="3"/>
        <charset val="128"/>
      </rPr>
      <t>イベントとして計測
③</t>
    </r>
    <r>
      <rPr>
        <sz val="9"/>
        <color rgb="FF1E293B"/>
        <rFont val="Arial"/>
        <family val="2"/>
      </rPr>
      <t xml:space="preserve"> Microsoft Clarity</t>
    </r>
    <r>
      <rPr>
        <sz val="9"/>
        <color rgb="FF1E293B"/>
        <rFont val="ＭＳ ゴシック"/>
        <family val="3"/>
        <charset val="128"/>
      </rPr>
      <t>（無料）を設置しヒートマップ・セッション録画で離脱箇所を可視化</t>
    </r>
    <phoneticPr fontId="42"/>
  </si>
  <si>
    <r>
      <rPr>
        <sz val="9"/>
        <color rgb="FF1E293B"/>
        <rFont val="ＭＳ ゴシック"/>
        <family val="3"/>
        <charset val="128"/>
      </rPr>
      <t>フォーム</t>
    </r>
    <r>
      <rPr>
        <sz val="9"/>
        <color rgb="FF1E293B"/>
        <rFont val="Arial"/>
        <family val="2"/>
      </rPr>
      <t>CV</t>
    </r>
    <r>
      <rPr>
        <sz val="9"/>
        <color rgb="FF1E293B"/>
        <rFont val="ＭＳ ゴシック"/>
        <family val="3"/>
        <charset val="128"/>
      </rPr>
      <t>率</t>
    </r>
    <r>
      <rPr>
        <sz val="9"/>
        <color rgb="FF1E293B"/>
        <rFont val="Arial"/>
        <family val="2"/>
      </rPr>
      <t>4</t>
    </r>
    <r>
      <rPr>
        <sz val="9"/>
        <color rgb="FF1E293B"/>
        <rFont val="ＭＳ ゴシック"/>
        <family val="3"/>
        <charset val="128"/>
      </rPr>
      <t>〜</t>
    </r>
    <r>
      <rPr>
        <sz val="9"/>
        <color rgb="FF1E293B"/>
        <rFont val="Arial"/>
        <family val="2"/>
      </rPr>
      <t>5%</t>
    </r>
    <r>
      <rPr>
        <sz val="9"/>
        <color rgb="FF1E293B"/>
        <rFont val="ＭＳ ゴシック"/>
        <family val="3"/>
        <charset val="128"/>
      </rPr>
      <t>（マンスリー</t>
    </r>
    <r>
      <rPr>
        <sz val="9"/>
        <color rgb="FF1E293B"/>
        <rFont val="Arial"/>
        <family val="2"/>
      </rPr>
      <t>12%</t>
    </r>
    <r>
      <rPr>
        <sz val="9"/>
        <color rgb="FF1E293B"/>
        <rFont val="ＭＳ ゴシック"/>
        <family val="3"/>
        <charset val="128"/>
      </rPr>
      <t>の半分以下）。
【改修内容】横並び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ＭＳ ゴシック"/>
        <family val="3"/>
        <charset val="128"/>
      </rPr>
      <t>縦積みシングルカラムへ変更。入力項目を</t>
    </r>
    <r>
      <rPr>
        <sz val="9"/>
        <color rgb="FF1E293B"/>
        <rFont val="Arial"/>
        <family val="2"/>
      </rPr>
      <t>5</t>
    </r>
    <r>
      <rPr>
        <sz val="9"/>
        <color rgb="FF1E293B"/>
        <rFont val="ＭＳ ゴシック"/>
        <family val="3"/>
        <charset val="128"/>
      </rPr>
      <t>項目に絞る。プログレスバーを追加。フォーム上部に業種別導入事例</t>
    </r>
    <r>
      <rPr>
        <sz val="9"/>
        <color rgb="FF1E293B"/>
        <rFont val="Arial"/>
        <family val="2"/>
      </rPr>
      <t>3</t>
    </r>
    <r>
      <rPr>
        <sz val="9"/>
        <color rgb="FF1E293B"/>
        <rFont val="ＭＳ ゴシック"/>
        <family val="3"/>
        <charset val="128"/>
      </rPr>
      <t>件と「お問い合わせ後の流れ」を掲載。料金目安（</t>
    </r>
    <r>
      <rPr>
        <sz val="9"/>
        <color rgb="FF1E293B"/>
        <rFont val="Arial"/>
        <family val="2"/>
      </rPr>
      <t>9</t>
    </r>
    <r>
      <rPr>
        <sz val="9"/>
        <color rgb="FF1E293B"/>
        <rFont val="ＭＳ ゴシック"/>
        <family val="3"/>
        <charset val="128"/>
      </rPr>
      <t>万円〜）をフォーム横に常時表示。</t>
    </r>
    <phoneticPr fontId="42"/>
  </si>
  <si>
    <r>
      <rPr>
        <sz val="9"/>
        <color rgb="FF1E293B"/>
        <rFont val="ＭＳ ゴシック"/>
        <family val="3"/>
        <charset val="128"/>
      </rPr>
      <t>物件詳細の右サイドバー（</t>
    </r>
    <r>
      <rPr>
        <sz val="9"/>
        <color rgb="FF1E293B"/>
        <rFont val="Arial"/>
        <family val="2"/>
      </rPr>
      <t>PC</t>
    </r>
    <r>
      <rPr>
        <sz val="9"/>
        <color rgb="FF1E293B"/>
        <rFont val="ＭＳ ゴシック"/>
        <family val="3"/>
        <charset val="128"/>
      </rPr>
      <t>）またはページ下部固定ボタン（スマホ）に</t>
    </r>
    <r>
      <rPr>
        <sz val="9"/>
        <color rgb="FF1E293B"/>
        <rFont val="Arial"/>
        <family val="2"/>
      </rPr>
      <t>3</t>
    </r>
    <r>
      <rPr>
        <sz val="9"/>
        <color rgb="FF1E293B"/>
        <rFont val="ＭＳ ゴシック"/>
        <family val="3"/>
        <charset val="128"/>
      </rPr>
      <t>種の</t>
    </r>
    <r>
      <rPr>
        <sz val="9"/>
        <color rgb="FF1E293B"/>
        <rFont val="Arial"/>
        <family val="2"/>
      </rPr>
      <t>CTA</t>
    </r>
    <r>
      <rPr>
        <sz val="9"/>
        <color rgb="FF1E293B"/>
        <rFont val="ＭＳ ゴシック"/>
        <family val="3"/>
        <charset val="128"/>
      </rPr>
      <t>を常時表示。
①</t>
    </r>
    <r>
      <rPr>
        <sz val="9"/>
        <color rgb="FF1E293B"/>
        <rFont val="Arial"/>
        <family val="2"/>
      </rPr>
      <t xml:space="preserve"> </t>
    </r>
    <r>
      <rPr>
        <sz val="9"/>
        <color rgb="FF1E293B"/>
        <rFont val="ＭＳ ゴシック"/>
        <family val="3"/>
        <charset val="128"/>
      </rPr>
      <t>長期利用（半年以上）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ＭＳ ゴシック"/>
        <family val="3"/>
        <charset val="128"/>
      </rPr>
      <t>「この物件の料金・空室を確認する」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Arial"/>
        <family val="2"/>
      </rPr>
      <t xml:space="preserve"> /form/dormitory/
</t>
    </r>
    <r>
      <rPr>
        <sz val="9"/>
        <color rgb="FF1E293B"/>
        <rFont val="ＭＳ ゴシック"/>
        <family val="3"/>
        <charset val="128"/>
      </rPr>
      <t>補足：「担当営業が</t>
    </r>
    <r>
      <rPr>
        <sz val="9"/>
        <color rgb="FF1E293B"/>
        <rFont val="Arial"/>
        <family val="2"/>
      </rPr>
      <t>3</t>
    </r>
    <r>
      <rPr>
        <sz val="9"/>
        <color rgb="FF1E293B"/>
        <rFont val="ＭＳ ゴシック"/>
        <family val="3"/>
        <charset val="128"/>
      </rPr>
      <t>営業日以内にご連絡」「初期費用なし・契約書</t>
    </r>
    <r>
      <rPr>
        <sz val="9"/>
        <color rgb="FF1E293B"/>
        <rFont val="Arial"/>
        <family val="2"/>
      </rPr>
      <t>1</t>
    </r>
    <r>
      <rPr>
        <sz val="9"/>
        <color rgb="FF1E293B"/>
        <rFont val="ＭＳ ゴシック"/>
        <family val="3"/>
        <charset val="128"/>
      </rPr>
      <t>枚」など
②</t>
    </r>
    <r>
      <rPr>
        <sz val="9"/>
        <color rgb="FF1E293B"/>
        <rFont val="Arial"/>
        <family val="2"/>
      </rPr>
      <t xml:space="preserve"> </t>
    </r>
    <r>
      <rPr>
        <sz val="9"/>
        <color rgb="FF1E293B"/>
        <rFont val="ＭＳ ゴシック"/>
        <family val="3"/>
        <charset val="128"/>
      </rPr>
      <t>マンスリー利用（</t>
    </r>
    <r>
      <rPr>
        <sz val="9"/>
        <color rgb="FF1E293B"/>
        <rFont val="Arial"/>
        <family val="2"/>
      </rPr>
      <t>1</t>
    </r>
    <r>
      <rPr>
        <sz val="9"/>
        <color rgb="FF1E293B"/>
        <rFont val="ＭＳ ゴシック"/>
        <family val="3"/>
        <charset val="128"/>
      </rPr>
      <t>ヶ月〜）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ＭＳ ゴシック"/>
        <family val="3"/>
        <charset val="128"/>
      </rPr>
      <t>「この物件でマンスリー予約をする」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Arial"/>
        <family val="2"/>
      </rPr>
      <t xml:space="preserve"> /form/monthly/
</t>
    </r>
    <r>
      <rPr>
        <sz val="9"/>
        <color rgb="FF1E293B"/>
        <rFont val="ＭＳ ゴシック"/>
        <family val="3"/>
        <charset val="128"/>
      </rPr>
      <t>　補足：「最短</t>
    </r>
    <r>
      <rPr>
        <sz val="9"/>
        <color rgb="FF1E293B"/>
        <rFont val="Arial"/>
        <family val="2"/>
      </rPr>
      <t>5</t>
    </r>
    <r>
      <rPr>
        <sz val="9"/>
        <color rgb="FF1E293B"/>
        <rFont val="ＭＳ ゴシック"/>
        <family val="3"/>
        <charset val="128"/>
      </rPr>
      <t>営業日前から手配可能」「月額</t>
    </r>
    <r>
      <rPr>
        <sz val="9"/>
        <color rgb="FF1E293B"/>
        <rFont val="Arial"/>
        <family val="2"/>
      </rPr>
      <t>9</t>
    </r>
    <r>
      <rPr>
        <sz val="9"/>
        <color rgb="FF1E293B"/>
        <rFont val="ＭＳ ゴシック"/>
        <family val="3"/>
        <charset val="128"/>
      </rPr>
      <t>万円〜」
③</t>
    </r>
    <r>
      <rPr>
        <sz val="9"/>
        <color rgb="FF1E293B"/>
        <rFont val="Arial"/>
        <family val="2"/>
      </rPr>
      <t xml:space="preserve"> </t>
    </r>
    <r>
      <rPr>
        <sz val="9"/>
        <color rgb="FF1E293B"/>
        <rFont val="ＭＳ ゴシック"/>
        <family val="3"/>
        <charset val="128"/>
      </rPr>
      <t>資料請求・見学</t>
    </r>
    <r>
      <rPr>
        <sz val="9"/>
        <color rgb="FF1E293B"/>
        <rFont val="Arial"/>
        <family val="2"/>
      </rPr>
      <t xml:space="preserve"> </t>
    </r>
    <r>
      <rPr>
        <sz val="9"/>
        <color rgb="FF1E293B"/>
        <rFont val="Noto Sans CJK SC"/>
        <family val="2"/>
        <charset val="128"/>
      </rPr>
      <t>→</t>
    </r>
    <r>
      <rPr>
        <sz val="9"/>
        <color rgb="FF1E293B"/>
        <rFont val="Arial"/>
        <family val="2"/>
      </rPr>
      <t xml:space="preserve"> /contact/download/ </t>
    </r>
    <r>
      <rPr>
        <sz val="9"/>
        <color rgb="FF1E293B"/>
        <rFont val="ＭＳ ゴシック"/>
        <family val="3"/>
        <charset val="128"/>
      </rPr>
      <t>または</t>
    </r>
    <r>
      <rPr>
        <sz val="9"/>
        <color rgb="FF1E293B"/>
        <rFont val="Arial"/>
        <family val="2"/>
      </rPr>
      <t xml:space="preserve"> /guide/</t>
    </r>
    <phoneticPr fontId="42"/>
  </si>
  <si>
    <t>フォトギャラリーのクリック率は高いが現状は物件により写真数のムラがある</t>
    <rPh sb="21" eb="23">
      <t>ブッケン</t>
    </rPh>
    <rPh sb="26" eb="28">
      <t>シャシン</t>
    </rPh>
    <rPh sb="28" eb="29">
      <t>カズ</t>
    </rPh>
    <phoneticPr fontId="42"/>
  </si>
  <si>
    <r>
      <rPr>
        <sz val="9"/>
        <color rgb="FF1E293B"/>
        <rFont val="ＭＳ ゴシック"/>
        <family val="3"/>
        <charset val="128"/>
      </rPr>
      <t>「この物件が他と何が違うのか」が現状の詳細ページでは伝わらない。
【追加内容】ページ上部に「この物件の特徴</t>
    </r>
    <r>
      <rPr>
        <sz val="9"/>
        <color rgb="FF1E293B"/>
        <rFont val="Arial"/>
        <family val="2"/>
      </rPr>
      <t>3</t>
    </r>
    <r>
      <rPr>
        <sz val="9"/>
        <color rgb="FF1E293B"/>
        <rFont val="ＭＳ ゴシック"/>
        <family val="3"/>
        <charset val="128"/>
      </rPr>
      <t>点」をアイコン付きで明示。ドーミー</t>
    </r>
    <r>
      <rPr>
        <sz val="9"/>
        <color rgb="FF1E293B"/>
        <rFont val="Arial"/>
        <family val="2"/>
      </rPr>
      <t>vs</t>
    </r>
    <r>
      <rPr>
        <sz val="9"/>
        <color rgb="FF1E293B"/>
        <rFont val="ＭＳ ゴシック"/>
        <family val="3"/>
        <charset val="128"/>
      </rPr>
      <t>マンスリーマンション</t>
    </r>
    <r>
      <rPr>
        <sz val="9"/>
        <color rgb="FF1E293B"/>
        <rFont val="Arial"/>
        <family val="2"/>
      </rPr>
      <t>vs</t>
    </r>
    <r>
      <rPr>
        <sz val="9"/>
        <color rgb="FF1E293B"/>
        <rFont val="ＭＳ ゴシック"/>
        <family val="3"/>
        <charset val="128"/>
      </rPr>
      <t>ホテル連泊の月額コスト比較を簡易表示（</t>
    </r>
    <r>
      <rPr>
        <sz val="9"/>
        <color rgb="FF1E293B"/>
        <rFont val="Arial"/>
        <family val="2"/>
      </rPr>
      <t>9</t>
    </r>
    <r>
      <rPr>
        <sz val="9"/>
        <color rgb="FF1E293B"/>
        <rFont val="ＭＳ ゴシック"/>
        <family val="3"/>
        <charset val="128"/>
      </rPr>
      <t>万円〜</t>
    </r>
    <r>
      <rPr>
        <sz val="9"/>
        <color rgb="FF1E293B"/>
        <rFont val="Arial"/>
        <family val="2"/>
      </rPr>
      <t xml:space="preserve"> vs 15</t>
    </r>
    <r>
      <rPr>
        <sz val="9"/>
        <color rgb="FF1E293B"/>
        <rFont val="ＭＳ ゴシック"/>
        <family val="3"/>
        <charset val="128"/>
      </rPr>
      <t>万円〜</t>
    </r>
    <r>
      <rPr>
        <sz val="9"/>
        <color rgb="FF1E293B"/>
        <rFont val="Arial"/>
        <family val="2"/>
      </rPr>
      <t xml:space="preserve"> vs 30</t>
    </r>
    <r>
      <rPr>
        <sz val="9"/>
        <color rgb="FF1E293B"/>
        <rFont val="ＭＳ ゴシック"/>
        <family val="3"/>
        <charset val="128"/>
      </rPr>
      <t>万円〜）。同物件エリアの利用企業の声を</t>
    </r>
    <r>
      <rPr>
        <sz val="9"/>
        <color rgb="FF1E293B"/>
        <rFont val="Arial"/>
        <family val="2"/>
      </rPr>
      <t>1</t>
    </r>
    <r>
      <rPr>
        <sz val="9"/>
        <color rgb="FF1E293B"/>
        <rFont val="ＭＳ ゴシック"/>
        <family val="3"/>
        <charset val="128"/>
      </rPr>
      <t>件インライン掲載。</t>
    </r>
    <phoneticPr fontId="42"/>
  </si>
  <si>
    <t>建設・金融業の地方赴任者は「知らない土地での生活」に不安。担当者も入居者が生活できるか確認したい。</t>
    <phoneticPr fontId="42"/>
  </si>
  <si>
    <t>物件のお気に入り保存</t>
    <rPh sb="4" eb="5">
      <t>キ</t>
    </rPh>
    <rPh sb="6" eb="7">
      <t>イ</t>
    </rPh>
    <rPh sb="8" eb="10">
      <t>ホゾン</t>
    </rPh>
    <phoneticPr fontId="42"/>
  </si>
  <si>
    <t>法人担当者は社複数の物件を比較することもあるため、クッキーで保存できるマイページ・ユーザー登録レスのお気に入り物件保存機能を追加で実装。</t>
    <rPh sb="7" eb="9">
      <t>フクスウ</t>
    </rPh>
    <rPh sb="10" eb="12">
      <t>ブッケン</t>
    </rPh>
    <rPh sb="13" eb="15">
      <t>ヒカク</t>
    </rPh>
    <rPh sb="30" eb="32">
      <t>ホゾン</t>
    </rPh>
    <rPh sb="45" eb="47">
      <t>トウロク</t>
    </rPh>
    <rPh sb="51" eb="52">
      <t>キ</t>
    </rPh>
    <rPh sb="53" eb="54">
      <t>イ</t>
    </rPh>
    <rPh sb="55" eb="57">
      <t>ブッケン</t>
    </rPh>
    <rPh sb="57" eb="59">
      <t>ホゾン</t>
    </rPh>
    <rPh sb="59" eb="61">
      <t>キノウ</t>
    </rPh>
    <rPh sb="62" eb="64">
      <t>ツイカ</t>
    </rPh>
    <rPh sb="65" eb="67">
      <t>ジッソウ</t>
    </rPh>
    <phoneticPr fontId="42"/>
  </si>
  <si>
    <t>比較・検討</t>
    <rPh sb="0" eb="2">
      <t>ヒカク</t>
    </rPh>
    <rPh sb="3" eb="5">
      <t>ケントウ</t>
    </rPh>
    <phoneticPr fontId="4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</si>
</sst>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4">
    <font>
      <sz val="11"/>
      <color theme="1"/>
      <name val="Calibri"/>
      <family val="2"/>
      <charset val="1"/>
    </font>
    <font>
      <sz val="10"/>
      <color rgb="FF1E293B"/>
      <name val="Meiryo UI"/>
      <family val="3"/>
      <charset val="128"/>
    </font>
    <font>
      <b/>
      <sz val="20"/>
      <color rgb="FF2347A0"/>
      <name val="Meiryo UI"/>
      <family val="3"/>
      <charset val="128"/>
    </font>
    <font>
      <b/>
      <sz val="20"/>
      <color rgb="FF2347A0"/>
      <name val="Noto Sans CJK SC"/>
      <family val="2"/>
    </font>
    <font>
      <sz val="11"/>
      <color rgb="FF3D4F80"/>
      <name val="Meiryo UI"/>
      <family val="3"/>
      <charset val="128"/>
    </font>
    <font>
      <sz val="11"/>
      <color rgb="FF3D4F80"/>
      <name val="Noto Sans CJK SC"/>
      <family val="2"/>
    </font>
    <font>
      <b/>
      <sz val="10"/>
      <color rgb="FF2347A0"/>
      <name val="Noto Sans CJK SC"/>
      <charset val="1"/>
    </font>
    <font>
      <b/>
      <sz val="18"/>
      <color rgb="FF2347A0"/>
      <name val="Meiryo UI"/>
      <family val="3"/>
      <charset val="128"/>
    </font>
    <font>
      <b/>
      <sz val="18"/>
      <color rgb="FF2347A0"/>
      <name val="Noto Sans CJK SC"/>
      <family val="2"/>
    </font>
    <font>
      <sz val="9"/>
      <color rgb="FF3D4F80"/>
      <name val="Noto Sans CJK SC"/>
      <charset val="1"/>
    </font>
    <font>
      <sz val="9"/>
      <color rgb="FF3D4F80"/>
      <name val="Meiryo UI"/>
      <family val="3"/>
      <charset val="128"/>
    </font>
    <font>
      <sz val="9"/>
      <color rgb="FF3D4F80"/>
      <name val="Noto Sans CJK SC"/>
      <family val="2"/>
    </font>
    <font>
      <sz val="10"/>
      <color rgb="FF1E293B"/>
      <name val="Noto Sans CJK SC"/>
      <family val="2"/>
      <charset val="1"/>
    </font>
    <font>
      <sz val="10"/>
      <color rgb="FF1E293B"/>
      <name val="Noto Sans CJK SC"/>
      <family val="2"/>
    </font>
    <font>
      <b/>
      <sz val="10"/>
      <color rgb="FF2347A0"/>
      <name val="Meiryo UI"/>
      <family val="3"/>
      <charset val="128"/>
    </font>
    <font>
      <b/>
      <sz val="10"/>
      <color rgb="FF2347A0"/>
      <name val="Noto Sans CJK SC"/>
      <family val="2"/>
    </font>
    <font>
      <b/>
      <sz val="12"/>
      <color rgb="FFFFFFFF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10"/>
      <color rgb="FF3D68CC"/>
      <name val="Meiryo UI"/>
      <family val="3"/>
      <charset val="128"/>
    </font>
    <font>
      <b/>
      <sz val="10"/>
      <color rgb="FF1E293B"/>
      <name val="Meiryo UI"/>
      <family val="3"/>
      <charset val="128"/>
    </font>
    <font>
      <sz val="10"/>
      <color rgb="FF3D4F80"/>
      <name val="Meiryo UI"/>
      <family val="3"/>
      <charset val="128"/>
    </font>
    <font>
      <sz val="10"/>
      <color rgb="FF3D4F80"/>
      <name val="Noto Sans CJK SC"/>
      <family val="2"/>
    </font>
    <font>
      <sz val="9"/>
      <color rgb="FF1E293B"/>
      <name val="Noto Sans CJK SC"/>
      <family val="2"/>
      <charset val="1"/>
    </font>
    <font>
      <sz val="8"/>
      <color rgb="FF92600A"/>
      <name val="Noto Sans CJK SC"/>
      <family val="2"/>
      <charset val="1"/>
    </font>
    <font>
      <b/>
      <sz val="9"/>
      <color rgb="FFFFFFFF"/>
      <name val="Meiryo UI"/>
      <family val="3"/>
      <charset val="128"/>
    </font>
    <font>
      <b/>
      <sz val="9"/>
      <color rgb="FFFFFFFF"/>
      <name val="Noto Sans CJK SC"/>
      <family val="2"/>
    </font>
    <font>
      <b/>
      <sz val="10"/>
      <color rgb="FFFFFFFF"/>
      <name val="Noto Sans CJK SC"/>
      <family val="2"/>
      <charset val="1"/>
    </font>
    <font>
      <b/>
      <sz val="10"/>
      <color rgb="FFFFFFFF"/>
      <name val="Meiryo UI"/>
      <family val="3"/>
      <charset val="128"/>
    </font>
    <font>
      <b/>
      <sz val="9"/>
      <color rgb="FF2347A0"/>
      <name val="Noto Sans CJK SC"/>
      <charset val="1"/>
    </font>
    <font>
      <sz val="8"/>
      <color rgb="FF92600A"/>
      <name val="Meiryo UI"/>
      <family val="3"/>
      <charset val="128"/>
    </font>
    <font>
      <sz val="8"/>
      <color rgb="FF92600A"/>
      <name val="Noto Sans CJK SC"/>
      <family val="2"/>
    </font>
    <font>
      <sz val="10"/>
      <color rgb="FF3D68CC"/>
      <name val="Meiryo UI"/>
      <family val="3"/>
      <charset val="128"/>
    </font>
    <font>
      <sz val="9"/>
      <color rgb="FF2347A0"/>
      <name val="Noto Sans CJK SC"/>
      <charset val="1"/>
    </font>
    <font>
      <b/>
      <sz val="11"/>
      <color rgb="FFFFFFFF"/>
      <name val="Meiryo UI"/>
      <family val="3"/>
      <charset val="128"/>
    </font>
    <font>
      <b/>
      <sz val="11"/>
      <color rgb="FFFFFFFF"/>
      <name val="Noto Sans CJK SC"/>
      <family val="2"/>
    </font>
    <font>
      <b/>
      <sz val="9"/>
      <color rgb="FF3D68CC"/>
      <name val="Noto Sans CJK SC"/>
      <charset val="1"/>
    </font>
    <font>
      <b/>
      <sz val="9"/>
      <color rgb="FF2347A0"/>
      <name val="Meiryo UI"/>
      <family val="3"/>
      <charset val="128"/>
    </font>
    <font>
      <b/>
      <sz val="9"/>
      <color rgb="FF2347A0"/>
      <name val="Noto Sans CJK SC"/>
      <family val="2"/>
    </font>
    <font>
      <b/>
      <sz val="9"/>
      <color rgb="FF3D68CC"/>
      <name val="Meiryo UI"/>
      <family val="3"/>
      <charset val="128"/>
    </font>
    <font>
      <sz val="9"/>
      <color rgb="FF1E293B"/>
      <name val="Meiryo UI"/>
      <family val="3"/>
      <charset val="128"/>
    </font>
    <font>
      <sz val="9"/>
      <color rgb="FF1E293B"/>
      <name val="Noto Sans CJK SC"/>
      <family val="2"/>
    </font>
    <font>
      <b/>
      <sz val="11"/>
      <color rgb="FFFFFFFF"/>
      <name val="Noto Sans CJK SC"/>
      <family val="2"/>
      <charset val="1"/>
    </font>
    <font>
      <sz val="6"/>
      <name val="ＭＳ Ｐゴシック"/>
      <family val="3"/>
      <charset val="128"/>
    </font>
    <font>
      <sz val="9"/>
      <color rgb="FF2347A0"/>
      <name val="ＭＳ ゴシック"/>
      <family val="3"/>
      <charset val="128"/>
    </font>
    <font>
      <sz val="9"/>
      <color rgb="FF2347A0"/>
      <name val="Arial"/>
      <family val="2"/>
    </font>
    <font>
      <sz val="9"/>
      <color rgb="FF2347A0"/>
      <name val="Noto Sans CJK SC"/>
      <family val="3"/>
      <charset val="128"/>
    </font>
    <font>
      <b/>
      <sz val="11"/>
      <color rgb="FFFFFFFF"/>
      <name val="ＭＳ ゴシック"/>
      <family val="3"/>
      <charset val="128"/>
    </font>
    <font>
      <sz val="11"/>
      <color rgb="FFFFFFFF"/>
      <name val="ＭＳ ゴシック"/>
      <family val="3"/>
      <charset val="128"/>
    </font>
    <font>
      <sz val="11"/>
      <color rgb="FFFFFFFF"/>
      <name val="Meiryo UI"/>
      <family val="3"/>
      <charset val="128"/>
    </font>
    <font>
      <sz val="9"/>
      <color rgb="FF1E293B"/>
      <name val="ＭＳ ゴシック"/>
      <family val="3"/>
      <charset val="128"/>
    </font>
    <font>
      <sz val="9"/>
      <color rgb="FF1E293B"/>
      <name val="Arial"/>
      <family val="2"/>
    </font>
    <font>
      <sz val="9"/>
      <color rgb="FF1E293B"/>
      <name val="Noto Sans CJK SC"/>
      <family val="3"/>
      <charset val="128"/>
    </font>
    <font>
      <sz val="9"/>
      <color rgb="FF1E293B"/>
      <name val="Noto Sans CJK SC"/>
      <family val="2"/>
      <charset val="128"/>
    </font>
    <font>
      <b/>
      <sz val="9"/>
      <color rgb="FF2347A0"/>
      <name val="ＭＳ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2347A0"/>
        <bgColor rgb="FF3D4F80"/>
      </patternFill>
    </fill>
    <fill>
      <patternFill patternType="solid">
        <fgColor rgb="FFFFFFFF"/>
        <bgColor rgb="FFFFFDF5"/>
      </patternFill>
    </fill>
    <fill>
      <patternFill patternType="solid">
        <fgColor rgb="FF3D68CC"/>
        <bgColor rgb="FF4672A8"/>
      </patternFill>
    </fill>
    <fill>
      <patternFill patternType="solid">
        <fgColor rgb="FFF5F7FF"/>
        <bgColor rgb="FFEEF2FF"/>
      </patternFill>
    </fill>
    <fill>
      <patternFill patternType="solid">
        <fgColor rgb="FFC8CFEA"/>
        <bgColor rgb="FFD1DCE9"/>
      </patternFill>
    </fill>
    <fill>
      <patternFill patternType="solid">
        <fgColor rgb="FFECF0FF"/>
        <bgColor rgb="FFEEF2FF"/>
      </patternFill>
    </fill>
    <fill>
      <patternFill patternType="solid">
        <fgColor rgb="FFFFFBEB"/>
        <bgColor rgb="FFFFFDF5"/>
      </patternFill>
    </fill>
    <fill>
      <patternFill patternType="solid">
        <fgColor rgb="FFEEF2FF"/>
        <bgColor rgb="FFECF0FF"/>
      </patternFill>
    </fill>
    <fill>
      <patternFill patternType="solid">
        <fgColor rgb="FFFFFDF5"/>
        <bgColor rgb="FFFFFFFF"/>
      </patternFill>
    </fill>
    <fill>
      <patternFill patternType="solid">
        <fgColor rgb="FF3D4F80"/>
        <bgColor rgb="FF2347A0"/>
      </patternFill>
    </fill>
  </fills>
  <borders count="2">
    <border>
      <left/>
      <right/>
      <top/>
      <bottom/>
      <diagonal/>
    </border>
    <border>
      <left style="thin">
        <color rgb="FFD1DCE9"/>
      </left>
      <right style="thin">
        <color rgb="FFD1DCE9"/>
      </right>
      <top style="thin">
        <color rgb="FFD1DCE9"/>
      </top>
      <bottom style="thin">
        <color rgb="FFD1DCE9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9" fillId="3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0" fillId="3" borderId="0" xfId="0" applyFill="1"/>
    <xf numFmtId="0" fontId="14" fillId="5" borderId="0" xfId="0" applyFont="1" applyFill="1" applyAlignment="1">
      <alignment horizontal="left" vertical="center"/>
    </xf>
    <xf numFmtId="0" fontId="0" fillId="5" borderId="0" xfId="0" applyFill="1"/>
    <xf numFmtId="0" fontId="17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3" fontId="1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3" fontId="14" fillId="5" borderId="1" xfId="0" applyNumberFormat="1" applyFont="1" applyFill="1" applyBorder="1" applyAlignment="1">
      <alignment horizontal="right" vertical="center"/>
    </xf>
    <xf numFmtId="3" fontId="18" fillId="5" borderId="1" xfId="0" applyNumberFormat="1" applyFont="1" applyFill="1" applyBorder="1" applyAlignment="1">
      <alignment horizontal="right" vertical="center"/>
    </xf>
    <xf numFmtId="3" fontId="19" fillId="5" borderId="1" xfId="0" applyNumberFormat="1" applyFont="1" applyFill="1" applyBorder="1" applyAlignment="1">
      <alignment horizontal="right" vertical="center"/>
    </xf>
    <xf numFmtId="0" fontId="20" fillId="5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right" vertical="center"/>
    </xf>
    <xf numFmtId="10" fontId="1" fillId="5" borderId="1" xfId="0" applyNumberFormat="1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right" vertical="center"/>
    </xf>
    <xf numFmtId="3" fontId="14" fillId="3" borderId="1" xfId="0" applyNumberFormat="1" applyFont="1" applyFill="1" applyBorder="1" applyAlignment="1">
      <alignment horizontal="right" vertical="center"/>
    </xf>
    <xf numFmtId="10" fontId="1" fillId="3" borderId="1" xfId="0" applyNumberFormat="1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3" fontId="1" fillId="9" borderId="1" xfId="0" applyNumberFormat="1" applyFont="1" applyFill="1" applyBorder="1" applyAlignment="1">
      <alignment horizontal="right" vertical="center"/>
    </xf>
    <xf numFmtId="4" fontId="1" fillId="9" borderId="1" xfId="0" applyNumberFormat="1" applyFont="1" applyFill="1" applyBorder="1" applyAlignment="1">
      <alignment horizontal="right" vertical="center"/>
    </xf>
    <xf numFmtId="3" fontId="14" fillId="9" borderId="1" xfId="0" applyNumberFormat="1" applyFont="1" applyFill="1" applyBorder="1" applyAlignment="1">
      <alignment horizontal="right" vertical="center"/>
    </xf>
    <xf numFmtId="10" fontId="1" fillId="9" borderId="1" xfId="0" applyNumberFormat="1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3" fontId="1" fillId="10" borderId="1" xfId="0" applyNumberFormat="1" applyFont="1" applyFill="1" applyBorder="1" applyAlignment="1">
      <alignment horizontal="right" vertical="center"/>
    </xf>
    <xf numFmtId="4" fontId="1" fillId="10" borderId="1" xfId="0" applyNumberFormat="1" applyFont="1" applyFill="1" applyBorder="1" applyAlignment="1">
      <alignment horizontal="right" vertical="center"/>
    </xf>
    <xf numFmtId="3" fontId="14" fillId="10" borderId="1" xfId="0" applyNumberFormat="1" applyFont="1" applyFill="1" applyBorder="1" applyAlignment="1">
      <alignment horizontal="right" vertical="center"/>
    </xf>
    <xf numFmtId="10" fontId="1" fillId="10" borderId="1" xfId="0" applyNumberFormat="1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/>
    </xf>
    <xf numFmtId="3" fontId="27" fillId="2" borderId="1" xfId="0" applyNumberFormat="1" applyFont="1" applyFill="1" applyBorder="1" applyAlignment="1">
      <alignment horizontal="right" vertical="center"/>
    </xf>
    <xf numFmtId="4" fontId="27" fillId="2" borderId="1" xfId="0" applyNumberFormat="1" applyFont="1" applyFill="1" applyBorder="1" applyAlignment="1">
      <alignment horizontal="right" vertical="center"/>
    </xf>
    <xf numFmtId="0" fontId="27" fillId="2" borderId="1" xfId="0" applyFont="1" applyFill="1" applyBorder="1" applyAlignment="1">
      <alignment horizontal="right" vertical="center"/>
    </xf>
    <xf numFmtId="10" fontId="27" fillId="2" borderId="1" xfId="0" applyNumberFormat="1" applyFont="1" applyFill="1" applyBorder="1" applyAlignment="1">
      <alignment horizontal="right" vertical="center"/>
    </xf>
    <xf numFmtId="0" fontId="26" fillId="2" borderId="1" xfId="0" applyFont="1" applyFill="1" applyBorder="1" applyAlignment="1">
      <alignment horizontal="right" vertical="center"/>
    </xf>
    <xf numFmtId="0" fontId="28" fillId="3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3" fontId="18" fillId="3" borderId="1" xfId="0" applyNumberFormat="1" applyFont="1" applyFill="1" applyBorder="1" applyAlignment="1">
      <alignment horizontal="right" vertical="center"/>
    </xf>
    <xf numFmtId="3" fontId="18" fillId="9" borderId="1" xfId="0" applyNumberFormat="1" applyFont="1" applyFill="1" applyBorder="1" applyAlignment="1">
      <alignment horizontal="right" vertical="center"/>
    </xf>
    <xf numFmtId="3" fontId="18" fillId="10" borderId="1" xfId="0" applyNumberFormat="1" applyFont="1" applyFill="1" applyBorder="1" applyAlignment="1">
      <alignment horizontal="right" vertical="center"/>
    </xf>
    <xf numFmtId="176" fontId="1" fillId="5" borderId="1" xfId="0" applyNumberFormat="1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right" vertical="center"/>
    </xf>
    <xf numFmtId="10" fontId="31" fillId="5" borderId="1" xfId="0" applyNumberFormat="1" applyFont="1" applyFill="1" applyBorder="1" applyAlignment="1">
      <alignment horizontal="right" vertical="center"/>
    </xf>
    <xf numFmtId="10" fontId="31" fillId="3" borderId="1" xfId="0" applyNumberFormat="1" applyFont="1" applyFill="1" applyBorder="1" applyAlignment="1">
      <alignment horizontal="right" vertical="center"/>
    </xf>
    <xf numFmtId="10" fontId="20" fillId="3" borderId="1" xfId="0" applyNumberFormat="1" applyFont="1" applyFill="1" applyBorder="1" applyAlignment="1">
      <alignment horizontal="right" vertical="center"/>
    </xf>
    <xf numFmtId="10" fontId="20" fillId="5" borderId="1" xfId="0" applyNumberFormat="1" applyFont="1" applyFill="1" applyBorder="1" applyAlignment="1">
      <alignment horizontal="right" vertical="center"/>
    </xf>
    <xf numFmtId="176" fontId="1" fillId="3" borderId="1" xfId="0" applyNumberFormat="1" applyFont="1" applyFill="1" applyBorder="1" applyAlignment="1">
      <alignment horizontal="right" vertical="center"/>
    </xf>
    <xf numFmtId="10" fontId="1" fillId="3" borderId="1" xfId="0" applyNumberFormat="1" applyFont="1" applyFill="1" applyBorder="1" applyAlignment="1">
      <alignment horizontal="right" vertical="center"/>
    </xf>
    <xf numFmtId="176" fontId="1" fillId="5" borderId="1" xfId="0" applyNumberFormat="1" applyFont="1" applyFill="1" applyBorder="1" applyAlignment="1">
      <alignment horizontal="right" vertical="center"/>
    </xf>
    <xf numFmtId="10" fontId="1" fillId="5" borderId="1" xfId="0" applyNumberFormat="1" applyFont="1" applyFill="1" applyBorder="1" applyAlignment="1">
      <alignment horizontal="right" vertical="center"/>
    </xf>
    <xf numFmtId="10" fontId="14" fillId="3" borderId="1" xfId="0" applyNumberFormat="1" applyFont="1" applyFill="1" applyBorder="1" applyAlignment="1">
      <alignment horizontal="right" vertical="center"/>
    </xf>
    <xf numFmtId="176" fontId="27" fillId="2" borderId="1" xfId="0" applyNumberFormat="1" applyFont="1" applyFill="1" applyBorder="1" applyAlignment="1">
      <alignment horizontal="right" vertical="center"/>
    </xf>
    <xf numFmtId="176" fontId="14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9" fillId="8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/>
    </xf>
    <xf numFmtId="0" fontId="32" fillId="9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center"/>
    </xf>
    <xf numFmtId="0" fontId="26" fillId="11" borderId="1" xfId="0" applyFont="1" applyFill="1" applyBorder="1" applyAlignment="1">
      <alignment horizontal="left" vertical="center"/>
    </xf>
    <xf numFmtId="0" fontId="41" fillId="2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45" fillId="9" borderId="1" xfId="0" applyFont="1" applyFill="1" applyBorder="1" applyAlignment="1">
      <alignment horizontal="left" vertical="center" wrapText="1"/>
    </xf>
    <xf numFmtId="0" fontId="45" fillId="5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39" fillId="5" borderId="1" xfId="0" applyFont="1" applyFill="1" applyBorder="1" applyAlignment="1">
      <alignment horizontal="left" vertical="center" wrapText="1"/>
    </xf>
    <xf numFmtId="0" fontId="39" fillId="3" borderId="1" xfId="0" applyFont="1" applyFill="1" applyBorder="1" applyAlignment="1">
      <alignment horizontal="left" vertical="center" wrapText="1"/>
    </xf>
    <xf numFmtId="0" fontId="0" fillId="11" borderId="0" xfId="0" applyFill="1" applyAlignment="1">
      <alignment vertical="center"/>
    </xf>
    <xf numFmtId="0" fontId="39" fillId="5" borderId="1" xfId="0" applyFont="1" applyFill="1" applyBorder="1" applyAlignment="1">
      <alignment horizontal="left" vertical="center" wrapText="1"/>
    </xf>
    <xf numFmtId="0" fontId="51" fillId="5" borderId="1" xfId="0" applyFont="1" applyFill="1" applyBorder="1" applyAlignment="1">
      <alignment horizontal="left" vertical="center" wrapText="1"/>
    </xf>
    <xf numFmtId="0" fontId="51" fillId="3" borderId="1" xfId="0" applyFont="1" applyFill="1" applyBorder="1" applyAlignment="1">
      <alignment horizontal="left" vertical="center" wrapText="1"/>
    </xf>
    <xf numFmtId="0" fontId="49" fillId="3" borderId="1" xfId="0" applyFont="1" applyFill="1" applyBorder="1" applyAlignment="1">
      <alignment horizontal="left" vertical="center" wrapText="1"/>
    </xf>
    <xf numFmtId="0" fontId="53" fillId="5" borderId="1" xfId="0" applyFont="1" applyFill="1" applyBorder="1" applyAlignment="1">
      <alignment horizontal="left" vertical="center" wrapText="1"/>
    </xf>
    <xf numFmtId="0" fontId="49" fillId="5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F"/>
      <rgbColor rgb="FFFF00FF"/>
      <rgbColor rgb="FF00FFFF"/>
      <rgbColor rgb="FF800000"/>
      <rgbColor rgb="FF008000"/>
      <rgbColor rgb="FF000080"/>
      <rgbColor rgb="FF92600A"/>
      <rgbColor rgb="FF800080"/>
      <rgbColor rgb="FF4672A8"/>
      <rgbColor rgb="FFB3B3B3"/>
      <rgbColor rgb="FF878787"/>
      <rgbColor rgb="FF93A9CE"/>
      <rgbColor rgb="FFAB4744"/>
      <rgbColor rgb="FFFFFBEB"/>
      <rgbColor rgb="FFECF0FF"/>
      <rgbColor rgb="FF660066"/>
      <rgbColor rgb="FFDC853E"/>
      <rgbColor rgb="FF2E6DA4"/>
      <rgbColor rgb="FFC8CFEA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2FF"/>
      <rgbColor rgb="FFD1DCE9"/>
      <rgbColor rgb="FFFFFDF5"/>
      <rgbColor rgb="FFB8CD97"/>
      <rgbColor rgb="FFD09493"/>
      <rgbColor rgb="FFA99BBD"/>
      <rgbColor rgb="FFD9D9D9"/>
      <rgbColor rgb="FF3D68CC"/>
      <rgbColor rgb="FF33CCCC"/>
      <rgbColor rgb="FF8AA64F"/>
      <rgbColor rgb="FFFFCC00"/>
      <rgbColor rgb="FFFF9900"/>
      <rgbColor rgb="FFFF6600"/>
      <rgbColor rgb="FF725990"/>
      <rgbColor rgb="FF94A3B8"/>
      <rgbColor rgb="FF1E3A5F"/>
      <rgbColor rgb="FF4299B0"/>
      <rgbColor rgb="FF003300"/>
      <rgbColor rgb="FF3D4F80"/>
      <rgbColor rgb="FF993300"/>
      <rgbColor rgb="FF993366"/>
      <rgbColor rgb="FF2347A0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月別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CV</a:t>
            </a: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数推移（統合データ・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2025</a:t>
            </a: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年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4</a:t>
            </a: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〜2026</a:t>
            </a: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年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3</a:t>
            </a: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月）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月別基本指標!$G$3</c:f>
              <c:strCache>
                <c:ptCount val="1"/>
                <c:pt idx="0">
                  <c:v>CV数</c:v>
                </c:pt>
              </c:strCache>
            </c:strRef>
          </c:tx>
          <c:spPr>
            <a:ln w="21960">
              <a:solidFill>
                <a:srgbClr val="1E3A5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月別基本指標!$A$4:$A$15</c:f>
              <c:strCache>
                <c:ptCount val="12"/>
                <c:pt idx="0">
                  <c:v>2026年03月</c:v>
                </c:pt>
                <c:pt idx="1">
                  <c:v>2026年02月</c:v>
                </c:pt>
                <c:pt idx="2">
                  <c:v>2026年01月</c:v>
                </c:pt>
                <c:pt idx="3">
                  <c:v>2025年12月</c:v>
                </c:pt>
                <c:pt idx="4">
                  <c:v>2025年11月</c:v>
                </c:pt>
                <c:pt idx="5">
                  <c:v>2025年10月</c:v>
                </c:pt>
                <c:pt idx="6">
                  <c:v>2025年09月</c:v>
                </c:pt>
                <c:pt idx="7">
                  <c:v>2025年08月</c:v>
                </c:pt>
                <c:pt idx="8">
                  <c:v>2025年07月</c:v>
                </c:pt>
                <c:pt idx="9">
                  <c:v>2025年06月</c:v>
                </c:pt>
                <c:pt idx="10">
                  <c:v>2025年05月</c:v>
                </c:pt>
                <c:pt idx="11">
                  <c:v>2025年04月</c:v>
                </c:pt>
              </c:strCache>
            </c:strRef>
          </c:cat>
          <c:val>
            <c:numRef>
              <c:f>月別基本指標!$G$4:$G$15</c:f>
              <c:numCache>
                <c:formatCode>#,##0</c:formatCode>
                <c:ptCount val="12"/>
                <c:pt idx="0">
                  <c:v>419</c:v>
                </c:pt>
                <c:pt idx="1">
                  <c:v>389</c:v>
                </c:pt>
                <c:pt idx="2">
                  <c:v>375</c:v>
                </c:pt>
                <c:pt idx="3">
                  <c:v>270</c:v>
                </c:pt>
                <c:pt idx="4">
                  <c:v>241</c:v>
                </c:pt>
                <c:pt idx="5">
                  <c:v>252</c:v>
                </c:pt>
                <c:pt idx="6">
                  <c:v>263</c:v>
                </c:pt>
                <c:pt idx="7">
                  <c:v>195</c:v>
                </c:pt>
                <c:pt idx="8">
                  <c:v>261</c:v>
                </c:pt>
                <c:pt idx="9">
                  <c:v>196</c:v>
                </c:pt>
                <c:pt idx="10">
                  <c:v>192</c:v>
                </c:pt>
                <c:pt idx="11">
                  <c:v>129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FB-4A05-8F5A-7C1C0CFB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00389"/>
        <c:axId val="15259965"/>
      </c:lineChart>
      <c:catAx>
        <c:axId val="48003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5259965"/>
        <c:crosses val="autoZero"/>
        <c:auto val="1"/>
        <c:lblAlgn val="ctr"/>
        <c:lblOffset val="100"/>
        <c:noMultiLvlLbl val="0"/>
      </c:catAx>
      <c:valAx>
        <c:axId val="152599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CV</a:t>
                </a: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8003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月別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CV</a:t>
            </a: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推移（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2024</a:t>
            </a: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年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〜2026</a:t>
            </a: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年</a:t>
            </a:r>
            <a:r>
              <a:rPr lang="en-US" altLang="ja-JP" sz="1800" b="1" strike="noStrike" spc="-1">
                <a:solidFill>
                  <a:srgbClr val="000000"/>
                </a:solidFill>
                <a:latin typeface="Calibri"/>
              </a:rPr>
              <a:t>3</a:t>
            </a: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月）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'月別CV推移（統合）'!$C$3</c:f>
              <c:strCache>
                <c:ptCount val="1"/>
                <c:pt idx="0">
                  <c:v>法人お問合せ（長期）</c:v>
                </c:pt>
              </c:strCache>
            </c:strRef>
          </c:tx>
          <c:spPr>
            <a:solidFill>
              <a:srgbClr val="1E3A5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0" strike="noStrike" spc="-1">
                    <a:solidFill>
                      <a:schemeClr val="bg1"/>
                    </a:solidFill>
                    <a:latin typeface="Arial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'月別CV推移（統合）'!$A$4:$A$30</c:f>
              <c:strCache>
                <c:ptCount val="27"/>
                <c:pt idx="0">
                  <c:v>2026-03（速報）</c:v>
                </c:pt>
                <c:pt idx="1">
                  <c:v>2026-02</c:v>
                </c:pt>
                <c:pt idx="2">
                  <c:v>2026-01</c:v>
                </c:pt>
                <c:pt idx="3">
                  <c:v>2025-12</c:v>
                </c:pt>
                <c:pt idx="4">
                  <c:v>2025-11</c:v>
                </c:pt>
                <c:pt idx="5">
                  <c:v>2025-10</c:v>
                </c:pt>
                <c:pt idx="6">
                  <c:v>2025-09</c:v>
                </c:pt>
                <c:pt idx="7">
                  <c:v>2025-08</c:v>
                </c:pt>
                <c:pt idx="8">
                  <c:v>2025-07</c:v>
                </c:pt>
                <c:pt idx="9">
                  <c:v>2025-06</c:v>
                </c:pt>
                <c:pt idx="10">
                  <c:v>2025-05</c:v>
                </c:pt>
                <c:pt idx="11">
                  <c:v>2025-04</c:v>
                </c:pt>
                <c:pt idx="12">
                  <c:v>2025-03</c:v>
                </c:pt>
                <c:pt idx="13">
                  <c:v>2025-02</c:v>
                </c:pt>
                <c:pt idx="14">
                  <c:v>2025-01</c:v>
                </c:pt>
                <c:pt idx="15">
                  <c:v>2024-12</c:v>
                </c:pt>
                <c:pt idx="16">
                  <c:v>2024-11</c:v>
                </c:pt>
                <c:pt idx="17">
                  <c:v>2024-10</c:v>
                </c:pt>
                <c:pt idx="18">
                  <c:v>2024-09</c:v>
                </c:pt>
                <c:pt idx="19">
                  <c:v>2024-08</c:v>
                </c:pt>
                <c:pt idx="20">
                  <c:v>2024-07</c:v>
                </c:pt>
                <c:pt idx="21">
                  <c:v>2024-06</c:v>
                </c:pt>
                <c:pt idx="22">
                  <c:v>2024-05</c:v>
                </c:pt>
                <c:pt idx="23">
                  <c:v>2024-04</c:v>
                </c:pt>
                <c:pt idx="24">
                  <c:v>2024-03</c:v>
                </c:pt>
                <c:pt idx="25">
                  <c:v>2024-02</c:v>
                </c:pt>
                <c:pt idx="26">
                  <c:v>2024-01</c:v>
                </c:pt>
              </c:strCache>
            </c:strRef>
          </c:cat>
          <c:val>
            <c:numRef>
              <c:f>'月別CV推移（統合）'!$C$4:$C$30</c:f>
              <c:numCache>
                <c:formatCode>#,##0</c:formatCode>
                <c:ptCount val="27"/>
                <c:pt idx="0">
                  <c:v>60</c:v>
                </c:pt>
                <c:pt idx="1">
                  <c:v>59</c:v>
                </c:pt>
                <c:pt idx="2">
                  <c:v>77</c:v>
                </c:pt>
                <c:pt idx="3">
                  <c:v>85</c:v>
                </c:pt>
                <c:pt idx="4">
                  <c:v>57</c:v>
                </c:pt>
                <c:pt idx="5">
                  <c:v>39</c:v>
                </c:pt>
                <c:pt idx="6">
                  <c:v>66</c:v>
                </c:pt>
                <c:pt idx="7">
                  <c:v>40</c:v>
                </c:pt>
                <c:pt idx="8">
                  <c:v>58</c:v>
                </c:pt>
                <c:pt idx="9">
                  <c:v>40</c:v>
                </c:pt>
                <c:pt idx="10">
                  <c:v>32</c:v>
                </c:pt>
                <c:pt idx="11">
                  <c:v>32</c:v>
                </c:pt>
                <c:pt idx="12">
                  <c:v>34</c:v>
                </c:pt>
                <c:pt idx="13">
                  <c:v>44</c:v>
                </c:pt>
                <c:pt idx="14">
                  <c:v>37</c:v>
                </c:pt>
                <c:pt idx="15">
                  <c:v>53</c:v>
                </c:pt>
                <c:pt idx="16">
                  <c:v>44</c:v>
                </c:pt>
                <c:pt idx="17">
                  <c:v>49</c:v>
                </c:pt>
                <c:pt idx="18">
                  <c:v>52</c:v>
                </c:pt>
                <c:pt idx="19">
                  <c:v>51</c:v>
                </c:pt>
                <c:pt idx="20">
                  <c:v>60</c:v>
                </c:pt>
                <c:pt idx="21">
                  <c:v>44</c:v>
                </c:pt>
                <c:pt idx="22">
                  <c:v>29</c:v>
                </c:pt>
                <c:pt idx="23">
                  <c:v>36</c:v>
                </c:pt>
                <c:pt idx="24">
                  <c:v>65</c:v>
                </c:pt>
                <c:pt idx="25">
                  <c:v>40</c:v>
                </c:pt>
                <c:pt idx="26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0-45A4-9F54-FE0DDD3B5EAB}"/>
            </c:ext>
          </c:extLst>
        </c:ser>
        <c:ser>
          <c:idx val="1"/>
          <c:order val="1"/>
          <c:tx>
            <c:strRef>
              <c:f>'月別CV推移（統合）'!$D$3</c:f>
              <c:strCache>
                <c:ptCount val="1"/>
                <c:pt idx="0">
                  <c:v>マンスリーお問合せ</c:v>
                </c:pt>
              </c:strCache>
            </c:strRef>
          </c:tx>
          <c:spPr>
            <a:solidFill>
              <a:srgbClr val="2E6DA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chemeClr val="bg1"/>
                    </a:solidFill>
                    <a:latin typeface="Arial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'月別CV推移（統合）'!$A$4:$A$30</c:f>
              <c:strCache>
                <c:ptCount val="27"/>
                <c:pt idx="0">
                  <c:v>2026-03（速報）</c:v>
                </c:pt>
                <c:pt idx="1">
                  <c:v>2026-02</c:v>
                </c:pt>
                <c:pt idx="2">
                  <c:v>2026-01</c:v>
                </c:pt>
                <c:pt idx="3">
                  <c:v>2025-12</c:v>
                </c:pt>
                <c:pt idx="4">
                  <c:v>2025-11</c:v>
                </c:pt>
                <c:pt idx="5">
                  <c:v>2025-10</c:v>
                </c:pt>
                <c:pt idx="6">
                  <c:v>2025-09</c:v>
                </c:pt>
                <c:pt idx="7">
                  <c:v>2025-08</c:v>
                </c:pt>
                <c:pt idx="8">
                  <c:v>2025-07</c:v>
                </c:pt>
                <c:pt idx="9">
                  <c:v>2025-06</c:v>
                </c:pt>
                <c:pt idx="10">
                  <c:v>2025-05</c:v>
                </c:pt>
                <c:pt idx="11">
                  <c:v>2025-04</c:v>
                </c:pt>
                <c:pt idx="12">
                  <c:v>2025-03</c:v>
                </c:pt>
                <c:pt idx="13">
                  <c:v>2025-02</c:v>
                </c:pt>
                <c:pt idx="14">
                  <c:v>2025-01</c:v>
                </c:pt>
                <c:pt idx="15">
                  <c:v>2024-12</c:v>
                </c:pt>
                <c:pt idx="16">
                  <c:v>2024-11</c:v>
                </c:pt>
                <c:pt idx="17">
                  <c:v>2024-10</c:v>
                </c:pt>
                <c:pt idx="18">
                  <c:v>2024-09</c:v>
                </c:pt>
                <c:pt idx="19">
                  <c:v>2024-08</c:v>
                </c:pt>
                <c:pt idx="20">
                  <c:v>2024-07</c:v>
                </c:pt>
                <c:pt idx="21">
                  <c:v>2024-06</c:v>
                </c:pt>
                <c:pt idx="22">
                  <c:v>2024-05</c:v>
                </c:pt>
                <c:pt idx="23">
                  <c:v>2024-04</c:v>
                </c:pt>
                <c:pt idx="24">
                  <c:v>2024-03</c:v>
                </c:pt>
                <c:pt idx="25">
                  <c:v>2024-02</c:v>
                </c:pt>
                <c:pt idx="26">
                  <c:v>2024-01</c:v>
                </c:pt>
              </c:strCache>
            </c:strRef>
          </c:cat>
          <c:val>
            <c:numRef>
              <c:f>'月別CV推移（統合）'!$D$4:$D$30</c:f>
              <c:numCache>
                <c:formatCode>#,##0</c:formatCode>
                <c:ptCount val="27"/>
                <c:pt idx="0">
                  <c:v>315</c:v>
                </c:pt>
                <c:pt idx="1">
                  <c:v>266</c:v>
                </c:pt>
                <c:pt idx="2">
                  <c:v>251</c:v>
                </c:pt>
                <c:pt idx="3">
                  <c:v>124</c:v>
                </c:pt>
                <c:pt idx="4">
                  <c:v>70</c:v>
                </c:pt>
                <c:pt idx="5">
                  <c:v>61</c:v>
                </c:pt>
                <c:pt idx="6">
                  <c:v>57</c:v>
                </c:pt>
                <c:pt idx="7">
                  <c:v>39</c:v>
                </c:pt>
                <c:pt idx="8">
                  <c:v>58</c:v>
                </c:pt>
                <c:pt idx="9">
                  <c:v>44</c:v>
                </c:pt>
                <c:pt idx="10">
                  <c:v>43</c:v>
                </c:pt>
                <c:pt idx="11">
                  <c:v>66</c:v>
                </c:pt>
                <c:pt idx="12">
                  <c:v>104</c:v>
                </c:pt>
                <c:pt idx="13">
                  <c:v>74</c:v>
                </c:pt>
                <c:pt idx="14">
                  <c:v>60</c:v>
                </c:pt>
                <c:pt idx="15">
                  <c:v>65</c:v>
                </c:pt>
                <c:pt idx="16">
                  <c:v>133</c:v>
                </c:pt>
                <c:pt idx="17">
                  <c:v>88</c:v>
                </c:pt>
                <c:pt idx="18">
                  <c:v>81</c:v>
                </c:pt>
                <c:pt idx="19">
                  <c:v>43</c:v>
                </c:pt>
                <c:pt idx="20">
                  <c:v>72</c:v>
                </c:pt>
                <c:pt idx="21">
                  <c:v>55</c:v>
                </c:pt>
                <c:pt idx="22">
                  <c:v>69</c:v>
                </c:pt>
                <c:pt idx="23">
                  <c:v>67</c:v>
                </c:pt>
                <c:pt idx="24">
                  <c:v>85</c:v>
                </c:pt>
                <c:pt idx="25">
                  <c:v>85</c:v>
                </c:pt>
                <c:pt idx="26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20-45A4-9F54-FE0DDD3B5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92106"/>
        <c:axId val="22529275"/>
      </c:barChart>
      <c:catAx>
        <c:axId val="98921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22529275"/>
        <c:crosses val="autoZero"/>
        <c:auto val="1"/>
        <c:lblAlgn val="ctr"/>
        <c:lblOffset val="100"/>
        <c:noMultiLvlLbl val="0"/>
      </c:catAx>
      <c:valAx>
        <c:axId val="22529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CV</a:t>
                </a: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98921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長期利用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CV</a:t>
            </a: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完了数（月別）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'逆算フロー（長期利用）'!$E$10</c:f>
              <c:strCache>
                <c:ptCount val="1"/>
                <c:pt idx="0">
                  <c:v>CV完了数</c:v>
                </c:pt>
              </c:strCache>
            </c:strRef>
          </c:tx>
          <c:spPr>
            <a:solidFill>
              <a:srgbClr val="1E3A5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'逆算フロー（長期利用）'!$A$11:$A$15</c:f>
              <c:strCache>
                <c:ptCount val="5"/>
                <c:pt idx="0">
                  <c:v>2026年03月</c:v>
                </c:pt>
                <c:pt idx="1">
                  <c:v>2026年02月</c:v>
                </c:pt>
                <c:pt idx="2">
                  <c:v>2026年01月</c:v>
                </c:pt>
                <c:pt idx="3">
                  <c:v>2025年12月</c:v>
                </c:pt>
                <c:pt idx="4">
                  <c:v>2025年11月</c:v>
                </c:pt>
              </c:strCache>
            </c:strRef>
          </c:cat>
          <c:val>
            <c:numRef>
              <c:f>'逆算フロー（長期利用）'!$E$11:$E$15</c:f>
              <c:numCache>
                <c:formatCode>#,##0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78</c:v>
                </c:pt>
                <c:pt idx="3">
                  <c:v>54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C-495D-935A-3373088CB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693163"/>
        <c:axId val="66829383"/>
      </c:barChart>
      <c:catAx>
        <c:axId val="716931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66829383"/>
        <c:crosses val="autoZero"/>
        <c:auto val="1"/>
        <c:lblAlgn val="ctr"/>
        <c:lblOffset val="100"/>
        <c:noMultiLvlLbl val="0"/>
      </c:catAx>
      <c:valAx>
        <c:axId val="66829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CV</a:t>
                </a: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716931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チャネル別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CVR </a:t>
            </a: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比較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集客チャネル!$F$4</c:f>
              <c:strCache>
                <c:ptCount val="1"/>
                <c:pt idx="0">
                  <c:v>CVR</c:v>
                </c:pt>
              </c:strCache>
            </c:strRef>
          </c:tx>
          <c:spPr>
            <a:solidFill>
              <a:srgbClr val="2E6DA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集客チャネル!$A$5:$A$13</c:f>
              <c:strCache>
                <c:ptCount val="9"/>
                <c:pt idx="0">
                  <c:v>オーガニック検索</c:v>
                </c:pt>
                <c:pt idx="1">
                  <c:v>ダイレクト</c:v>
                </c:pt>
                <c:pt idx="2">
                  <c:v>リスティング広告</c:v>
                </c:pt>
                <c:pt idx="3">
                  <c:v>参照元サイト</c:v>
                </c:pt>
                <c:pt idx="4">
                  <c:v>Cross-network</c:v>
                </c:pt>
                <c:pt idx="5">
                  <c:v>メール</c:v>
                </c:pt>
                <c:pt idx="6">
                  <c:v>未分類</c:v>
                </c:pt>
                <c:pt idx="7">
                  <c:v>オーガニックSNS</c:v>
                </c:pt>
                <c:pt idx="8">
                  <c:v>ディスプレイ広告</c:v>
                </c:pt>
              </c:strCache>
            </c:strRef>
          </c:cat>
          <c:val>
            <c:numRef>
              <c:f>集客チャネル!$F$5:$F$13</c:f>
              <c:numCache>
                <c:formatCode>0.00%</c:formatCode>
                <c:ptCount val="9"/>
                <c:pt idx="0">
                  <c:v>9.4600000000000001E-4</c:v>
                </c:pt>
                <c:pt idx="1">
                  <c:v>3.6900000000000002E-4</c:v>
                </c:pt>
                <c:pt idx="2">
                  <c:v>3.3470000000000001E-3</c:v>
                </c:pt>
                <c:pt idx="3">
                  <c:v>1.0449999999999999E-3</c:v>
                </c:pt>
                <c:pt idx="4">
                  <c:v>1.0070000000000001E-3</c:v>
                </c:pt>
                <c:pt idx="5">
                  <c:v>6.1520000000000004E-3</c:v>
                </c:pt>
                <c:pt idx="6">
                  <c:v>5.8600000000000004E-4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8-41EA-9758-B93CF30F7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010726"/>
        <c:axId val="48419809"/>
      </c:barChart>
      <c:catAx>
        <c:axId val="6001072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CVR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48419809"/>
        <c:crosses val="autoZero"/>
        <c:auto val="1"/>
        <c:lblAlgn val="ctr"/>
        <c:lblOffset val="100"/>
        <c:noMultiLvlLbl val="0"/>
      </c:catAx>
      <c:valAx>
        <c:axId val="4841980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600107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ディレクトリ別PV構成比（上位10）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ページ分類別!$C$4</c:f>
              <c:strCache>
                <c:ptCount val="1"/>
                <c:pt idx="0">
                  <c:v>PV数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10E-4BB3-B383-44D7C559A85C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10E-4BB3-B383-44D7C559A85C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10E-4BB3-B383-44D7C559A85C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10E-4BB3-B383-44D7C559A85C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10E-4BB3-B383-44D7C559A85C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510E-4BB3-B383-44D7C559A85C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510E-4BB3-B383-44D7C559A85C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510E-4BB3-B383-44D7C559A85C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510E-4BB3-B383-44D7C559A85C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510E-4BB3-B383-44D7C559A85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10E-4BB3-B383-44D7C559A85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10E-4BB3-B383-44D7C559A85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10E-4BB3-B383-44D7C559A85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510E-4BB3-B383-44D7C559A85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510E-4BB3-B383-44D7C559A85C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510E-4BB3-B383-44D7C559A85C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510E-4BB3-B383-44D7C559A85C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510E-4BB3-B383-44D7C559A85C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510E-4BB3-B383-44D7C559A85C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510E-4BB3-B383-44D7C559A8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ja-JP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ページ分類別!$A$5:$A$14</c:f>
              <c:strCache>
                <c:ptCount val="10"/>
                <c:pt idx="0">
                  <c:v>/placehall/（物件詳細ページ群）</c:v>
                </c:pt>
                <c:pt idx="1">
                  <c:v>/search/（物件検索ページ群）</c:v>
                </c:pt>
                <c:pt idx="2">
                  <c:v>/property（物件概要）</c:v>
                </c:pt>
                <c:pt idx="3">
                  <c:v>/lp/（ランディングページ群）</c:v>
                </c:pt>
                <c:pt idx="4">
                  <c:v>/（トップページ）</c:v>
                </c:pt>
                <c:pt idx="5">
                  <c:v>/bbs/（掲示板）</c:v>
                </c:pt>
                <c:pt idx="6">
                  <c:v>/form/（各種フォーム）</c:v>
                </c:pt>
                <c:pt idx="7">
                  <c:v>/faq/（よくある質問）</c:v>
                </c:pt>
                <c:pt idx="8">
                  <c:v>/contact/（お問い合わせ）</c:v>
                </c:pt>
                <c:pt idx="9">
                  <c:v>/service/（サービス紹介）</c:v>
                </c:pt>
              </c:strCache>
            </c:strRef>
          </c:cat>
          <c:val>
            <c:numRef>
              <c:f>ページ分類別!$C$5:$C$14</c:f>
              <c:numCache>
                <c:formatCode>#,##0</c:formatCode>
                <c:ptCount val="10"/>
                <c:pt idx="0">
                  <c:v>659026</c:v>
                </c:pt>
                <c:pt idx="1">
                  <c:v>472111</c:v>
                </c:pt>
                <c:pt idx="2">
                  <c:v>320047</c:v>
                </c:pt>
                <c:pt idx="3">
                  <c:v>186507</c:v>
                </c:pt>
                <c:pt idx="4">
                  <c:v>186137</c:v>
                </c:pt>
                <c:pt idx="5">
                  <c:v>112920</c:v>
                </c:pt>
                <c:pt idx="6">
                  <c:v>69823</c:v>
                </c:pt>
                <c:pt idx="7">
                  <c:v>69621</c:v>
                </c:pt>
                <c:pt idx="8">
                  <c:v>64194</c:v>
                </c:pt>
                <c:pt idx="9">
                  <c:v>38756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10E-4BB3-B383-44D7C559A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10</xdr:col>
      <xdr:colOff>569880</xdr:colOff>
      <xdr:row>49</xdr:row>
      <xdr:rowOff>105480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0</xdr:rowOff>
    </xdr:from>
    <xdr:to>
      <xdr:col>19</xdr:col>
      <xdr:colOff>133350</xdr:colOff>
      <xdr:row>83</xdr:row>
      <xdr:rowOff>104400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5</xdr:col>
      <xdr:colOff>1119600</xdr:colOff>
      <xdr:row>36</xdr:row>
      <xdr:rowOff>167400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7</xdr:col>
      <xdr:colOff>438840</xdr:colOff>
      <xdr:row>38</xdr:row>
      <xdr:rowOff>126720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7</xdr:col>
      <xdr:colOff>271800</xdr:colOff>
      <xdr:row>52</xdr:row>
      <xdr:rowOff>125640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showGridLines="0" zoomScaleNormal="100" workbookViewId="0"/>
  </sheetViews>
  <sheetFormatPr defaultColWidth="8.7109375" defaultRowHeight="15"/>
  <cols>
    <col min="1" max="1" width="3" customWidth="1"/>
    <col min="2" max="5" width="22" customWidth="1"/>
    <col min="6" max="6" width="3" customWidth="1"/>
  </cols>
  <sheetData>
    <row r="1" spans="1:6" ht="9.75" customHeight="1">
      <c r="A1" s="15"/>
      <c r="B1" s="15"/>
      <c r="C1" s="15"/>
      <c r="D1" s="15"/>
      <c r="E1" s="15"/>
      <c r="F1" s="15"/>
    </row>
    <row r="2" spans="1:6" ht="24" customHeight="1"/>
    <row r="3" spans="1:6" ht="55.5" customHeight="1">
      <c r="B3" s="14" t="s">
        <v>0</v>
      </c>
      <c r="C3" s="14"/>
      <c r="D3" s="14"/>
      <c r="E3" s="14"/>
    </row>
    <row r="4" spans="1:6" ht="27.75" customHeight="1">
      <c r="B4" s="13" t="s">
        <v>1</v>
      </c>
      <c r="C4" s="13"/>
      <c r="D4" s="13"/>
      <c r="E4" s="13"/>
    </row>
    <row r="5" spans="1:6" ht="3.75" customHeight="1">
      <c r="B5" s="16"/>
      <c r="C5" s="16"/>
      <c r="D5" s="16"/>
      <c r="E5" s="16"/>
    </row>
    <row r="6" spans="1:6" ht="24" customHeight="1"/>
    <row r="7" spans="1:6" ht="15.75" customHeight="1">
      <c r="B7" s="17" t="s">
        <v>2</v>
      </c>
    </row>
    <row r="8" spans="1:6" ht="43.5" customHeight="1">
      <c r="B8" s="18" t="s">
        <v>3</v>
      </c>
      <c r="C8" s="18" t="s">
        <v>4</v>
      </c>
      <c r="D8" s="18" t="s">
        <v>5</v>
      </c>
      <c r="E8" s="18" t="s">
        <v>6</v>
      </c>
    </row>
    <row r="9" spans="1:6" ht="18" customHeight="1">
      <c r="B9" s="19" t="s">
        <v>7</v>
      </c>
      <c r="C9" s="20" t="s">
        <v>8</v>
      </c>
      <c r="D9" s="19" t="s">
        <v>9</v>
      </c>
      <c r="E9" s="20" t="s">
        <v>10</v>
      </c>
    </row>
    <row r="10" spans="1:6" ht="24" customHeight="1"/>
    <row r="11" spans="1:6" ht="15.75" customHeight="1">
      <c r="B11" s="17" t="s">
        <v>11</v>
      </c>
    </row>
    <row r="12" spans="1:6" ht="3.75" customHeight="1">
      <c r="B12" s="21"/>
      <c r="C12" s="21"/>
      <c r="D12" s="21"/>
      <c r="E12" s="21"/>
    </row>
    <row r="13" spans="1:6" ht="21.75" customHeight="1">
      <c r="B13" s="22" t="s">
        <v>12</v>
      </c>
      <c r="C13" s="12" t="s">
        <v>13</v>
      </c>
      <c r="D13" s="12"/>
      <c r="E13" s="12"/>
    </row>
    <row r="14" spans="1:6" ht="21.75" customHeight="1">
      <c r="B14" s="23" t="s">
        <v>14</v>
      </c>
      <c r="C14" s="11" t="s">
        <v>15</v>
      </c>
      <c r="D14" s="11"/>
      <c r="E14" s="11"/>
    </row>
    <row r="15" spans="1:6" ht="21.75" customHeight="1">
      <c r="B15" s="22" t="s">
        <v>16</v>
      </c>
      <c r="C15" s="11" t="s">
        <v>17</v>
      </c>
      <c r="D15" s="11"/>
      <c r="E15" s="11"/>
    </row>
    <row r="16" spans="1:6" ht="21.75" customHeight="1">
      <c r="B16" s="22" t="s">
        <v>18</v>
      </c>
      <c r="C16" s="11" t="s">
        <v>19</v>
      </c>
      <c r="D16" s="11"/>
      <c r="E16" s="11"/>
    </row>
    <row r="17" spans="2:5" ht="21.75" customHeight="1">
      <c r="B17" s="22" t="s">
        <v>20</v>
      </c>
      <c r="C17" s="11" t="s">
        <v>21</v>
      </c>
      <c r="D17" s="11"/>
      <c r="E17" s="11"/>
    </row>
    <row r="18" spans="2:5" ht="21.75" customHeight="1">
      <c r="B18" s="22" t="s">
        <v>22</v>
      </c>
      <c r="C18" s="11" t="s">
        <v>23</v>
      </c>
      <c r="D18" s="11"/>
      <c r="E18" s="11"/>
    </row>
    <row r="19" spans="2:5" ht="24" customHeight="1"/>
    <row r="20" spans="2:5" ht="24" customHeight="1"/>
    <row r="21" spans="2:5" ht="15.75" customHeight="1">
      <c r="B21" s="17" t="s">
        <v>24</v>
      </c>
    </row>
    <row r="22" spans="2:5" ht="3.75" customHeight="1">
      <c r="B22" s="21"/>
      <c r="C22" s="21"/>
      <c r="D22" s="21"/>
      <c r="E22" s="21"/>
    </row>
    <row r="23" spans="2:5" ht="21.75" customHeight="1">
      <c r="B23" s="24" t="s">
        <v>25</v>
      </c>
      <c r="C23" s="25"/>
      <c r="D23" s="10" t="s">
        <v>26</v>
      </c>
      <c r="E23" s="10"/>
    </row>
    <row r="24" spans="2:5" ht="21.75" customHeight="1">
      <c r="B24" s="26" t="s">
        <v>27</v>
      </c>
      <c r="C24" s="27"/>
      <c r="D24" s="9" t="s">
        <v>28</v>
      </c>
      <c r="E24" s="9"/>
    </row>
    <row r="25" spans="2:5" ht="21.75" customHeight="1">
      <c r="B25" s="24" t="s">
        <v>29</v>
      </c>
      <c r="C25" s="25"/>
      <c r="D25" s="8" t="s">
        <v>30</v>
      </c>
      <c r="E25" s="8"/>
    </row>
    <row r="26" spans="2:5" ht="21.75" customHeight="1">
      <c r="B26" s="26" t="s">
        <v>31</v>
      </c>
      <c r="C26" s="27"/>
      <c r="D26" s="7" t="s">
        <v>32</v>
      </c>
      <c r="E26" s="7"/>
    </row>
    <row r="27" spans="2:5" ht="21.75" customHeight="1">
      <c r="B27" s="24" t="s">
        <v>33</v>
      </c>
      <c r="C27" s="25"/>
      <c r="D27" s="10" t="s">
        <v>34</v>
      </c>
      <c r="E27" s="10"/>
    </row>
    <row r="28" spans="2:5" ht="21.75" customHeight="1">
      <c r="B28" s="26" t="s">
        <v>35</v>
      </c>
      <c r="C28" s="27"/>
      <c r="D28" s="9" t="s">
        <v>36</v>
      </c>
      <c r="E28" s="9"/>
    </row>
    <row r="29" spans="2:5" ht="21.75" customHeight="1">
      <c r="B29" s="24" t="s">
        <v>37</v>
      </c>
      <c r="C29" s="25"/>
      <c r="D29" s="10" t="s">
        <v>38</v>
      </c>
      <c r="E29" s="10"/>
    </row>
    <row r="30" spans="2:5" ht="21.75" customHeight="1">
      <c r="B30" s="26" t="s">
        <v>39</v>
      </c>
      <c r="C30" s="27"/>
      <c r="D30" s="7" t="s">
        <v>40</v>
      </c>
      <c r="E30" s="7"/>
    </row>
    <row r="31" spans="2:5" ht="21.75" customHeight="1">
      <c r="B31" s="24" t="s">
        <v>41</v>
      </c>
      <c r="C31" s="25"/>
      <c r="D31" s="10" t="s">
        <v>42</v>
      </c>
      <c r="E31" s="10"/>
    </row>
    <row r="32" spans="2:5" ht="21.75" customHeight="1">
      <c r="B32" s="26" t="s">
        <v>43</v>
      </c>
      <c r="C32" s="27"/>
      <c r="D32" s="9" t="s">
        <v>44</v>
      </c>
      <c r="E32" s="9"/>
    </row>
    <row r="33" spans="2:5" ht="21.75" customHeight="1">
      <c r="B33" s="24" t="s">
        <v>45</v>
      </c>
      <c r="C33" s="25"/>
      <c r="D33" s="10" t="s">
        <v>46</v>
      </c>
      <c r="E33" s="10"/>
    </row>
    <row r="34" spans="2:5" ht="21.75" customHeight="1">
      <c r="B34" s="26" t="s">
        <v>47</v>
      </c>
      <c r="C34" s="27"/>
      <c r="D34" s="7" t="s">
        <v>48</v>
      </c>
      <c r="E34" s="7"/>
    </row>
    <row r="35" spans="2:5" ht="21.75" customHeight="1">
      <c r="B35" s="24" t="s">
        <v>49</v>
      </c>
      <c r="C35" s="25"/>
      <c r="D35" s="8" t="s">
        <v>50</v>
      </c>
      <c r="E35" s="8"/>
    </row>
    <row r="36" spans="2:5" ht="18" customHeight="1"/>
    <row r="37" spans="2:5" ht="9.75" customHeight="1"/>
  </sheetData>
  <mergeCells count="21">
    <mergeCell ref="D35:E35"/>
    <mergeCell ref="D30:E30"/>
    <mergeCell ref="D31:E31"/>
    <mergeCell ref="D32:E32"/>
    <mergeCell ref="D33:E33"/>
    <mergeCell ref="D34:E34"/>
    <mergeCell ref="D25:E25"/>
    <mergeCell ref="D26:E26"/>
    <mergeCell ref="D27:E27"/>
    <mergeCell ref="D28:E28"/>
    <mergeCell ref="D29:E29"/>
    <mergeCell ref="C16:E16"/>
    <mergeCell ref="C17:E17"/>
    <mergeCell ref="C18:E18"/>
    <mergeCell ref="D23:E23"/>
    <mergeCell ref="D24:E24"/>
    <mergeCell ref="B3:E3"/>
    <mergeCell ref="B4:E4"/>
    <mergeCell ref="C13:E13"/>
    <mergeCell ref="C14:E14"/>
    <mergeCell ref="C15:E15"/>
  </mergeCells>
  <phoneticPr fontId="42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showGridLines="0" zoomScaleNormal="100" workbookViewId="0">
      <selection sqref="A1:F1"/>
    </sheetView>
  </sheetViews>
  <sheetFormatPr defaultColWidth="8.7109375" defaultRowHeight="15"/>
  <cols>
    <col min="1" max="1" width="22" customWidth="1"/>
    <col min="2" max="6" width="15" customWidth="1"/>
  </cols>
  <sheetData>
    <row r="1" spans="1:6" ht="27.75" customHeight="1">
      <c r="A1" s="6" t="s">
        <v>51</v>
      </c>
      <c r="B1" s="6"/>
      <c r="C1" s="6"/>
      <c r="D1" s="6"/>
      <c r="E1" s="6"/>
      <c r="F1" s="6"/>
    </row>
    <row r="2" spans="1:6" ht="7.5" customHeight="1">
      <c r="A2" s="25"/>
      <c r="B2" s="25"/>
      <c r="C2" s="25"/>
      <c r="D2" s="25"/>
      <c r="E2" s="25"/>
      <c r="F2" s="25"/>
    </row>
    <row r="3" spans="1:6" ht="21.75" customHeight="1">
      <c r="A3" s="5" t="s">
        <v>52</v>
      </c>
      <c r="B3" s="5"/>
      <c r="C3" s="5"/>
      <c r="D3" s="5"/>
      <c r="E3" s="5"/>
      <c r="F3" s="5"/>
    </row>
    <row r="4" spans="1:6" ht="25.5" customHeight="1">
      <c r="A4" s="28" t="s">
        <v>53</v>
      </c>
      <c r="B4" s="28" t="s">
        <v>54</v>
      </c>
      <c r="C4" s="28" t="s">
        <v>55</v>
      </c>
      <c r="D4" s="28"/>
      <c r="E4" s="28"/>
      <c r="F4" s="28"/>
    </row>
    <row r="5" spans="1:6" ht="21.75" customHeight="1">
      <c r="A5" s="29" t="s">
        <v>7</v>
      </c>
      <c r="B5" s="30">
        <v>1041986</v>
      </c>
      <c r="C5" s="4" t="s">
        <v>56</v>
      </c>
      <c r="D5" s="4"/>
      <c r="E5" s="4"/>
      <c r="F5" s="4"/>
    </row>
    <row r="6" spans="1:6" ht="21.75" customHeight="1">
      <c r="A6" s="32" t="s">
        <v>57</v>
      </c>
      <c r="B6" s="33">
        <v>800218</v>
      </c>
      <c r="C6" s="3" t="s">
        <v>58</v>
      </c>
      <c r="D6" s="3"/>
      <c r="E6" s="3"/>
      <c r="F6" s="3"/>
    </row>
    <row r="7" spans="1:6" ht="21.75" customHeight="1">
      <c r="A7" s="29" t="s">
        <v>59</v>
      </c>
      <c r="B7" s="30">
        <v>2721790</v>
      </c>
      <c r="C7" s="4" t="s">
        <v>56</v>
      </c>
      <c r="D7" s="4"/>
      <c r="E7" s="4"/>
      <c r="F7" s="4"/>
    </row>
    <row r="8" spans="1:6" ht="21.75" customHeight="1">
      <c r="A8" s="32" t="s">
        <v>60</v>
      </c>
      <c r="B8" s="35" t="s">
        <v>61</v>
      </c>
      <c r="C8" s="2" t="s">
        <v>56</v>
      </c>
      <c r="D8" s="2"/>
      <c r="E8" s="2"/>
      <c r="F8" s="2"/>
    </row>
    <row r="9" spans="1:6" ht="21.75" customHeight="1">
      <c r="A9" s="37" t="s">
        <v>62</v>
      </c>
      <c r="B9" s="30">
        <v>1354</v>
      </c>
      <c r="C9" s="4" t="s">
        <v>56</v>
      </c>
      <c r="D9" s="4"/>
      <c r="E9" s="4"/>
      <c r="F9" s="4"/>
    </row>
    <row r="10" spans="1:6" ht="21.75" customHeight="1">
      <c r="A10" s="32" t="s">
        <v>63</v>
      </c>
      <c r="B10" s="33">
        <v>250</v>
      </c>
      <c r="C10" s="3" t="s">
        <v>64</v>
      </c>
      <c r="D10" s="3"/>
      <c r="E10" s="3"/>
      <c r="F10" s="3"/>
    </row>
    <row r="11" spans="1:6" ht="21.75" customHeight="1">
      <c r="A11" s="37" t="s">
        <v>65</v>
      </c>
      <c r="B11" s="38" t="s">
        <v>6</v>
      </c>
      <c r="C11" s="1" t="s">
        <v>66</v>
      </c>
      <c r="D11" s="1"/>
      <c r="E11" s="1"/>
      <c r="F11" s="1"/>
    </row>
    <row r="13" spans="1:6" ht="7.5" customHeight="1">
      <c r="A13" s="25"/>
      <c r="B13" s="25"/>
      <c r="C13" s="25"/>
      <c r="D13" s="25"/>
      <c r="E13" s="25"/>
      <c r="F13" s="25"/>
    </row>
    <row r="14" spans="1:6" ht="21.75" customHeight="1">
      <c r="A14" s="5" t="s">
        <v>67</v>
      </c>
      <c r="B14" s="5"/>
      <c r="C14" s="5"/>
      <c r="D14" s="5"/>
      <c r="E14" s="5"/>
      <c r="F14" s="5"/>
    </row>
    <row r="15" spans="1:6" ht="25.5" customHeight="1">
      <c r="A15" s="28" t="s">
        <v>68</v>
      </c>
      <c r="B15" s="28" t="s">
        <v>69</v>
      </c>
      <c r="C15" s="28" t="s">
        <v>70</v>
      </c>
      <c r="D15" s="28" t="s">
        <v>71</v>
      </c>
      <c r="E15" s="28" t="s">
        <v>72</v>
      </c>
      <c r="F15" s="28" t="s">
        <v>73</v>
      </c>
    </row>
    <row r="16" spans="1:6" ht="21.75" customHeight="1">
      <c r="A16" s="40" t="s">
        <v>74</v>
      </c>
      <c r="B16" s="33">
        <v>331</v>
      </c>
      <c r="C16" s="40" t="s">
        <v>56</v>
      </c>
      <c r="D16" s="40" t="s">
        <v>56</v>
      </c>
      <c r="E16" s="40" t="s">
        <v>56</v>
      </c>
      <c r="F16" s="41" t="s">
        <v>75</v>
      </c>
    </row>
    <row r="17" spans="1:6" ht="21.75" customHeight="1">
      <c r="A17" s="42" t="s">
        <v>76</v>
      </c>
      <c r="B17" s="30">
        <v>296</v>
      </c>
      <c r="C17" s="42" t="s">
        <v>56</v>
      </c>
      <c r="D17" s="42" t="s">
        <v>56</v>
      </c>
      <c r="E17" s="42" t="s">
        <v>56</v>
      </c>
      <c r="F17" s="43" t="s">
        <v>75</v>
      </c>
    </row>
    <row r="18" spans="1:6" ht="21.75" customHeight="1">
      <c r="A18" s="40" t="s">
        <v>77</v>
      </c>
      <c r="B18" s="33">
        <v>502</v>
      </c>
      <c r="C18" s="33">
        <v>487</v>
      </c>
      <c r="D18" s="33">
        <v>268</v>
      </c>
      <c r="E18" s="33">
        <v>1257</v>
      </c>
      <c r="F18" s="40" t="s">
        <v>78</v>
      </c>
    </row>
    <row r="19" spans="1:6" ht="21.75" customHeight="1">
      <c r="A19" s="42" t="s">
        <v>79</v>
      </c>
      <c r="B19" s="30">
        <v>535</v>
      </c>
      <c r="C19" s="30">
        <v>778</v>
      </c>
      <c r="D19" s="30">
        <v>327</v>
      </c>
      <c r="E19" s="30">
        <v>2640</v>
      </c>
      <c r="F19" s="43" t="s">
        <v>80</v>
      </c>
    </row>
    <row r="20" spans="1:6" ht="21.75" customHeight="1">
      <c r="A20" s="40" t="s">
        <v>81</v>
      </c>
      <c r="B20" s="44">
        <v>576</v>
      </c>
      <c r="C20" s="45">
        <v>891</v>
      </c>
      <c r="D20" s="46">
        <v>193</v>
      </c>
      <c r="E20" s="44">
        <v>1354</v>
      </c>
      <c r="F20" s="47" t="s">
        <v>82</v>
      </c>
    </row>
    <row r="22" spans="1:6" ht="7.5" customHeight="1">
      <c r="A22" s="25"/>
      <c r="B22" s="25"/>
      <c r="C22" s="25"/>
      <c r="D22" s="25"/>
      <c r="E22" s="25"/>
      <c r="F22" s="25"/>
    </row>
    <row r="23" spans="1:6" ht="21.75" customHeight="1">
      <c r="A23" s="5" t="s">
        <v>83</v>
      </c>
      <c r="B23" s="5"/>
      <c r="C23" s="5"/>
      <c r="D23" s="5"/>
      <c r="E23" s="5"/>
      <c r="F23" s="5"/>
    </row>
    <row r="24" spans="1:6" ht="25.5" customHeight="1">
      <c r="A24" s="28" t="s">
        <v>84</v>
      </c>
      <c r="B24" s="28" t="s">
        <v>85</v>
      </c>
      <c r="C24" s="28"/>
      <c r="D24" s="28"/>
      <c r="E24" s="28"/>
      <c r="F24" s="28"/>
    </row>
    <row r="25" spans="1:6" ht="45.75" customHeight="1">
      <c r="A25" s="32" t="s">
        <v>86</v>
      </c>
      <c r="B25" s="107" t="s">
        <v>87</v>
      </c>
      <c r="C25" s="107"/>
      <c r="D25" s="107"/>
      <c r="E25" s="107"/>
      <c r="F25" s="107"/>
    </row>
    <row r="26" spans="1:6" ht="45.75" customHeight="1">
      <c r="A26" s="29" t="s">
        <v>88</v>
      </c>
      <c r="B26" s="108" t="s">
        <v>89</v>
      </c>
      <c r="C26" s="108"/>
      <c r="D26" s="108"/>
      <c r="E26" s="108"/>
      <c r="F26" s="108"/>
    </row>
    <row r="27" spans="1:6" ht="45.75" customHeight="1">
      <c r="A27" s="32" t="s">
        <v>90</v>
      </c>
      <c r="B27" s="107" t="s">
        <v>91</v>
      </c>
      <c r="C27" s="107"/>
      <c r="D27" s="107"/>
      <c r="E27" s="107"/>
      <c r="F27" s="107"/>
    </row>
  </sheetData>
  <mergeCells count="14">
    <mergeCell ref="A23:F23"/>
    <mergeCell ref="B25:F25"/>
    <mergeCell ref="B26:F26"/>
    <mergeCell ref="B27:F27"/>
    <mergeCell ref="C8:F8"/>
    <mergeCell ref="C9:F9"/>
    <mergeCell ref="C10:F10"/>
    <mergeCell ref="C11:F11"/>
    <mergeCell ref="A14:F14"/>
    <mergeCell ref="A1:F1"/>
    <mergeCell ref="A3:F3"/>
    <mergeCell ref="C5:F5"/>
    <mergeCell ref="C6:F6"/>
    <mergeCell ref="C7:F7"/>
  </mergeCells>
  <phoneticPr fontId="42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showGridLines="0" topLeftCell="A14" zoomScaleNormal="100" workbookViewId="0">
      <selection activeCell="A23" sqref="A23:I23"/>
    </sheetView>
  </sheetViews>
  <sheetFormatPr defaultColWidth="8.7109375" defaultRowHeight="15"/>
  <cols>
    <col min="1" max="1" width="16" customWidth="1"/>
    <col min="2" max="2" width="12" customWidth="1"/>
    <col min="3" max="4" width="13" customWidth="1"/>
    <col min="5" max="5" width="12" customWidth="1"/>
    <col min="6" max="6" width="10" customWidth="1"/>
    <col min="7" max="8" width="12" customWidth="1"/>
    <col min="9" max="9" width="16" customWidth="1"/>
  </cols>
  <sheetData>
    <row r="1" spans="1:9" ht="27.75" customHeight="1">
      <c r="A1" s="6" t="s">
        <v>92</v>
      </c>
      <c r="B1" s="6"/>
      <c r="C1" s="6"/>
      <c r="D1" s="6"/>
      <c r="E1" s="6"/>
      <c r="F1" s="6"/>
      <c r="G1" s="6"/>
      <c r="H1" s="6"/>
      <c r="I1" s="6"/>
    </row>
    <row r="2" spans="1:9" ht="42" customHeight="1">
      <c r="A2" s="109" t="s">
        <v>93</v>
      </c>
      <c r="B2" s="109"/>
      <c r="C2" s="109"/>
      <c r="D2" s="109"/>
      <c r="E2" s="109"/>
      <c r="F2" s="109"/>
      <c r="G2" s="109"/>
      <c r="H2" s="109"/>
      <c r="I2" s="109"/>
    </row>
    <row r="3" spans="1:9" ht="21.75" customHeight="1">
      <c r="A3" s="28" t="s">
        <v>94</v>
      </c>
      <c r="B3" s="28" t="s">
        <v>57</v>
      </c>
      <c r="C3" s="28" t="s">
        <v>7</v>
      </c>
      <c r="D3" s="50" t="s">
        <v>95</v>
      </c>
      <c r="E3" s="50" t="s">
        <v>96</v>
      </c>
      <c r="F3" s="50" t="s">
        <v>97</v>
      </c>
      <c r="G3" s="50" t="s">
        <v>98</v>
      </c>
      <c r="H3" s="50" t="s">
        <v>99</v>
      </c>
      <c r="I3" s="28" t="s">
        <v>100</v>
      </c>
    </row>
    <row r="4" spans="1:9" ht="27.75" customHeight="1">
      <c r="A4" s="40" t="s">
        <v>101</v>
      </c>
      <c r="B4" s="33">
        <v>57059</v>
      </c>
      <c r="C4" s="33">
        <v>78015</v>
      </c>
      <c r="D4" s="33">
        <v>184205</v>
      </c>
      <c r="E4" s="51">
        <v>2.36</v>
      </c>
      <c r="F4" s="40" t="s">
        <v>102</v>
      </c>
      <c r="G4" s="44">
        <v>419</v>
      </c>
      <c r="H4" s="52">
        <f t="shared" ref="H4:H17" si="0">G4/C4</f>
        <v>5.3707620329423826E-3</v>
      </c>
      <c r="I4" s="36" t="s">
        <v>103</v>
      </c>
    </row>
    <row r="5" spans="1:9" ht="21.75" customHeight="1">
      <c r="A5" s="42" t="s">
        <v>104</v>
      </c>
      <c r="B5" s="30">
        <v>55502</v>
      </c>
      <c r="C5" s="30">
        <v>71658</v>
      </c>
      <c r="D5" s="30">
        <v>175225</v>
      </c>
      <c r="E5" s="53">
        <v>2.4500000000000002</v>
      </c>
      <c r="F5" s="42" t="s">
        <v>105</v>
      </c>
      <c r="G5" s="54">
        <v>389</v>
      </c>
      <c r="H5" s="55">
        <f t="shared" si="0"/>
        <v>5.4285634541851573E-3</v>
      </c>
      <c r="I5" s="31" t="s">
        <v>103</v>
      </c>
    </row>
    <row r="6" spans="1:9" ht="21.75" customHeight="1">
      <c r="A6" s="40" t="s">
        <v>106</v>
      </c>
      <c r="B6" s="33">
        <v>103831</v>
      </c>
      <c r="C6" s="33">
        <v>124321</v>
      </c>
      <c r="D6" s="33">
        <v>297636</v>
      </c>
      <c r="E6" s="51">
        <v>2.39</v>
      </c>
      <c r="F6" s="40" t="s">
        <v>107</v>
      </c>
      <c r="G6" s="44">
        <v>375</v>
      </c>
      <c r="H6" s="52">
        <f t="shared" si="0"/>
        <v>3.0163850033381326E-3</v>
      </c>
      <c r="I6" s="36" t="s">
        <v>103</v>
      </c>
    </row>
    <row r="7" spans="1:9" ht="21.75" customHeight="1">
      <c r="A7" s="56" t="s">
        <v>108</v>
      </c>
      <c r="B7" s="57">
        <v>166183</v>
      </c>
      <c r="C7" s="57">
        <v>186755</v>
      </c>
      <c r="D7" s="57">
        <v>372964</v>
      </c>
      <c r="E7" s="58">
        <v>2</v>
      </c>
      <c r="F7" s="56" t="s">
        <v>109</v>
      </c>
      <c r="G7" s="59">
        <v>270</v>
      </c>
      <c r="H7" s="60">
        <f t="shared" si="0"/>
        <v>1.4457444245133998E-3</v>
      </c>
      <c r="I7" s="61" t="s">
        <v>110</v>
      </c>
    </row>
    <row r="8" spans="1:9" ht="21.75" customHeight="1">
      <c r="A8" s="62" t="s">
        <v>111</v>
      </c>
      <c r="B8" s="63">
        <v>73630</v>
      </c>
      <c r="C8" s="63">
        <v>89100</v>
      </c>
      <c r="D8" s="63">
        <v>229602</v>
      </c>
      <c r="E8" s="64">
        <v>2.58</v>
      </c>
      <c r="F8" s="62" t="s">
        <v>112</v>
      </c>
      <c r="G8" s="65">
        <v>241</v>
      </c>
      <c r="H8" s="66">
        <f t="shared" si="0"/>
        <v>2.7048260381593715E-3</v>
      </c>
      <c r="I8" s="67" t="s">
        <v>113</v>
      </c>
    </row>
    <row r="9" spans="1:9" ht="21.75" customHeight="1">
      <c r="A9" s="62" t="s">
        <v>114</v>
      </c>
      <c r="B9" s="63">
        <v>59215</v>
      </c>
      <c r="C9" s="63">
        <v>74469</v>
      </c>
      <c r="D9" s="63">
        <v>216421</v>
      </c>
      <c r="E9" s="64">
        <v>2.91</v>
      </c>
      <c r="F9" s="62" t="s">
        <v>115</v>
      </c>
      <c r="G9" s="65">
        <v>252</v>
      </c>
      <c r="H9" s="66">
        <f t="shared" si="0"/>
        <v>3.3839584256536276E-3</v>
      </c>
      <c r="I9" s="67" t="s">
        <v>113</v>
      </c>
    </row>
    <row r="10" spans="1:9" ht="21.75" customHeight="1">
      <c r="A10" s="62" t="s">
        <v>116</v>
      </c>
      <c r="B10" s="63">
        <v>65503</v>
      </c>
      <c r="C10" s="63">
        <v>84211</v>
      </c>
      <c r="D10" s="63">
        <v>225530</v>
      </c>
      <c r="E10" s="64">
        <v>2.68</v>
      </c>
      <c r="F10" s="62" t="s">
        <v>117</v>
      </c>
      <c r="G10" s="65">
        <v>263</v>
      </c>
      <c r="H10" s="66">
        <f t="shared" si="0"/>
        <v>3.123107432520692E-3</v>
      </c>
      <c r="I10" s="67" t="s">
        <v>113</v>
      </c>
    </row>
    <row r="11" spans="1:9" ht="21.75" customHeight="1">
      <c r="A11" s="62" t="s">
        <v>118</v>
      </c>
      <c r="B11" s="63">
        <v>59201</v>
      </c>
      <c r="C11" s="63">
        <v>74992</v>
      </c>
      <c r="D11" s="63">
        <v>215853</v>
      </c>
      <c r="E11" s="64">
        <v>2.88</v>
      </c>
      <c r="F11" s="62" t="s">
        <v>119</v>
      </c>
      <c r="G11" s="65">
        <v>195</v>
      </c>
      <c r="H11" s="66">
        <f t="shared" si="0"/>
        <v>2.6002773629187114E-3</v>
      </c>
      <c r="I11" s="67" t="s">
        <v>113</v>
      </c>
    </row>
    <row r="12" spans="1:9" ht="21.75" customHeight="1">
      <c r="A12" s="62" t="s">
        <v>120</v>
      </c>
      <c r="B12" s="63">
        <v>50957</v>
      </c>
      <c r="C12" s="63">
        <v>66251</v>
      </c>
      <c r="D12" s="63">
        <v>200789</v>
      </c>
      <c r="E12" s="64">
        <v>3.03</v>
      </c>
      <c r="F12" s="62" t="s">
        <v>121</v>
      </c>
      <c r="G12" s="65">
        <v>261</v>
      </c>
      <c r="H12" s="66">
        <f t="shared" si="0"/>
        <v>3.9395631764048847E-3</v>
      </c>
      <c r="I12" s="67" t="s">
        <v>113</v>
      </c>
    </row>
    <row r="13" spans="1:9" ht="21.75" customHeight="1">
      <c r="A13" s="62" t="s">
        <v>122</v>
      </c>
      <c r="B13" s="63">
        <v>54475</v>
      </c>
      <c r="C13" s="63">
        <v>70459</v>
      </c>
      <c r="D13" s="63">
        <v>196163</v>
      </c>
      <c r="E13" s="64">
        <v>2.78</v>
      </c>
      <c r="F13" s="62" t="s">
        <v>123</v>
      </c>
      <c r="G13" s="65">
        <v>196</v>
      </c>
      <c r="H13" s="66">
        <f t="shared" si="0"/>
        <v>2.781759604876595E-3</v>
      </c>
      <c r="I13" s="67" t="s">
        <v>113</v>
      </c>
    </row>
    <row r="14" spans="1:9" ht="21.75" customHeight="1">
      <c r="A14" s="62" t="s">
        <v>124</v>
      </c>
      <c r="B14" s="63">
        <v>51194</v>
      </c>
      <c r="C14" s="63">
        <v>65603</v>
      </c>
      <c r="D14" s="63">
        <v>200853</v>
      </c>
      <c r="E14" s="64">
        <v>3.06</v>
      </c>
      <c r="F14" s="62" t="s">
        <v>125</v>
      </c>
      <c r="G14" s="65">
        <v>192</v>
      </c>
      <c r="H14" s="66">
        <f t="shared" si="0"/>
        <v>2.9266954255140771E-3</v>
      </c>
      <c r="I14" s="67" t="s">
        <v>113</v>
      </c>
    </row>
    <row r="15" spans="1:9" ht="21.75" customHeight="1">
      <c r="A15" s="62" t="s">
        <v>126</v>
      </c>
      <c r="B15" s="63">
        <v>49894</v>
      </c>
      <c r="C15" s="63">
        <v>66058</v>
      </c>
      <c r="D15" s="63">
        <v>206549</v>
      </c>
      <c r="E15" s="64">
        <v>3.13</v>
      </c>
      <c r="F15" s="62" t="s">
        <v>127</v>
      </c>
      <c r="G15" s="65">
        <v>129</v>
      </c>
      <c r="H15" s="66">
        <f t="shared" si="0"/>
        <v>1.9528293317993279E-3</v>
      </c>
      <c r="I15" s="67" t="s">
        <v>113</v>
      </c>
    </row>
    <row r="16" spans="1:9" ht="21.75" customHeight="1">
      <c r="A16" s="62" t="s">
        <v>128</v>
      </c>
      <c r="B16" s="63">
        <v>62240</v>
      </c>
      <c r="C16" s="63">
        <v>89930</v>
      </c>
      <c r="D16" s="63">
        <v>267337</v>
      </c>
      <c r="E16" s="64">
        <v>2.97</v>
      </c>
      <c r="F16" s="62" t="s">
        <v>129</v>
      </c>
      <c r="G16" s="65">
        <v>169</v>
      </c>
      <c r="H16" s="66">
        <f t="shared" si="0"/>
        <v>1.879239408428778E-3</v>
      </c>
      <c r="I16" s="67" t="s">
        <v>113</v>
      </c>
    </row>
    <row r="17" spans="1:9" ht="21.75" customHeight="1">
      <c r="A17" s="68" t="s">
        <v>130</v>
      </c>
      <c r="B17" s="69">
        <f>SUM(B4:B16)</f>
        <v>908884</v>
      </c>
      <c r="C17" s="69">
        <f>SUM(C4:C16)</f>
        <v>1141822</v>
      </c>
      <c r="D17" s="69">
        <f>SUM(D4:D16)</f>
        <v>2989127</v>
      </c>
      <c r="E17" s="70">
        <f>AVERAGE(E4:E16)</f>
        <v>2.7092307692307691</v>
      </c>
      <c r="F17" s="71" t="s">
        <v>56</v>
      </c>
      <c r="G17" s="69">
        <f>SUM(G4:G16)</f>
        <v>3351</v>
      </c>
      <c r="H17" s="72">
        <f t="shared" si="0"/>
        <v>2.934783179865163E-3</v>
      </c>
      <c r="I17" s="73" t="s">
        <v>131</v>
      </c>
    </row>
    <row r="18" spans="1:9" ht="25.5" customHeight="1">
      <c r="A18" s="25"/>
      <c r="B18" s="25"/>
      <c r="C18" s="25"/>
      <c r="D18" s="25"/>
      <c r="E18" s="25"/>
      <c r="F18" s="25"/>
      <c r="G18" s="25"/>
      <c r="H18" s="25"/>
      <c r="I18" s="25"/>
    </row>
    <row r="19" spans="1:9" ht="19.5" customHeight="1">
      <c r="A19" s="74" t="s">
        <v>132</v>
      </c>
      <c r="B19" s="22" t="s">
        <v>133</v>
      </c>
    </row>
    <row r="20" spans="1:9" ht="19.5" customHeight="1">
      <c r="B20" s="75" t="s">
        <v>134</v>
      </c>
    </row>
    <row r="21" spans="1:9" ht="19.5" customHeight="1">
      <c r="B21" s="76" t="s">
        <v>135</v>
      </c>
    </row>
    <row r="22" spans="1:9" ht="19.5" customHeight="1">
      <c r="A22" s="25"/>
      <c r="B22" s="25"/>
      <c r="C22" s="25"/>
      <c r="D22" s="25"/>
      <c r="E22" s="25"/>
      <c r="F22" s="25"/>
      <c r="G22" s="25"/>
      <c r="H22" s="25"/>
      <c r="I22" s="25"/>
    </row>
    <row r="23" spans="1:9" ht="37.5" customHeight="1">
      <c r="A23" s="109" t="s">
        <v>136</v>
      </c>
      <c r="B23" s="109"/>
      <c r="C23" s="109"/>
      <c r="D23" s="109"/>
      <c r="E23" s="109"/>
      <c r="F23" s="109"/>
      <c r="G23" s="109"/>
      <c r="H23" s="109"/>
      <c r="I23" s="109"/>
    </row>
  </sheetData>
  <mergeCells count="3">
    <mergeCell ref="A1:I1"/>
    <mergeCell ref="A2:I2"/>
    <mergeCell ref="A23:I23"/>
  </mergeCells>
  <phoneticPr fontId="42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8"/>
  <sheetViews>
    <sheetView showGridLines="0" topLeftCell="A55" zoomScaleNormal="100" workbookViewId="0">
      <selection sqref="A1:J1"/>
    </sheetView>
  </sheetViews>
  <sheetFormatPr defaultColWidth="8.7109375" defaultRowHeight="15"/>
  <cols>
    <col min="1" max="1" width="14" customWidth="1"/>
    <col min="2" max="2" width="9" customWidth="1"/>
    <col min="3" max="4" width="13" customWidth="1"/>
    <col min="5" max="5" width="9" customWidth="1"/>
    <col min="6" max="6" width="11" customWidth="1"/>
    <col min="7" max="8" width="9" customWidth="1"/>
    <col min="9" max="10" width="11" customWidth="1"/>
  </cols>
  <sheetData>
    <row r="1" spans="1:10" ht="27.75" customHeight="1">
      <c r="A1" s="6" t="s">
        <v>137</v>
      </c>
      <c r="B1" s="6"/>
      <c r="C1" s="6"/>
      <c r="D1" s="6"/>
      <c r="E1" s="6"/>
      <c r="F1" s="6"/>
      <c r="G1" s="6"/>
      <c r="H1" s="6"/>
      <c r="I1" s="6"/>
      <c r="J1" s="6"/>
    </row>
    <row r="2" spans="1:10" ht="33.75" customHeight="1">
      <c r="A2" s="110" t="s">
        <v>138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30" customHeight="1">
      <c r="A3" s="28" t="s">
        <v>94</v>
      </c>
      <c r="B3" s="28" t="s">
        <v>72</v>
      </c>
      <c r="C3" s="28" t="s">
        <v>69</v>
      </c>
      <c r="D3" s="28" t="s">
        <v>70</v>
      </c>
      <c r="E3" s="28" t="s">
        <v>139</v>
      </c>
      <c r="F3" s="28" t="s">
        <v>140</v>
      </c>
      <c r="G3" s="28" t="s">
        <v>141</v>
      </c>
      <c r="H3" s="28" t="s">
        <v>142</v>
      </c>
      <c r="I3" s="28" t="s">
        <v>143</v>
      </c>
      <c r="J3" s="28" t="s">
        <v>144</v>
      </c>
    </row>
    <row r="4" spans="1:10" ht="21.75" customHeight="1">
      <c r="A4" s="77" t="s">
        <v>145</v>
      </c>
      <c r="B4" s="57">
        <v>419</v>
      </c>
      <c r="C4" s="57">
        <v>60</v>
      </c>
      <c r="D4" s="57">
        <v>315</v>
      </c>
      <c r="E4" s="56"/>
      <c r="F4" s="57">
        <v>35</v>
      </c>
      <c r="G4" s="56"/>
      <c r="H4" s="56"/>
      <c r="I4" s="56"/>
      <c r="J4" s="56"/>
    </row>
    <row r="5" spans="1:10" ht="21.75" customHeight="1">
      <c r="A5" s="77" t="s">
        <v>146</v>
      </c>
      <c r="B5" s="57">
        <v>389</v>
      </c>
      <c r="C5" s="57">
        <v>59</v>
      </c>
      <c r="D5" s="57">
        <v>266</v>
      </c>
      <c r="E5" s="57">
        <v>9</v>
      </c>
      <c r="F5" s="57">
        <v>55</v>
      </c>
      <c r="G5" s="56"/>
      <c r="H5" s="56"/>
      <c r="I5" s="56"/>
      <c r="J5" s="56"/>
    </row>
    <row r="6" spans="1:10" ht="21.75" customHeight="1">
      <c r="A6" s="77" t="s">
        <v>147</v>
      </c>
      <c r="B6" s="57">
        <v>381</v>
      </c>
      <c r="C6" s="57">
        <v>77</v>
      </c>
      <c r="D6" s="57">
        <v>251</v>
      </c>
      <c r="E6" s="57">
        <v>11</v>
      </c>
      <c r="F6" s="57">
        <v>42</v>
      </c>
      <c r="G6" s="56"/>
      <c r="H6" s="56"/>
      <c r="I6" s="56"/>
      <c r="J6" s="56"/>
    </row>
    <row r="7" spans="1:10" ht="21.75" customHeight="1">
      <c r="A7" s="77" t="s">
        <v>148</v>
      </c>
      <c r="B7" s="57">
        <v>270</v>
      </c>
      <c r="C7" s="57">
        <v>85</v>
      </c>
      <c r="D7" s="57">
        <v>124</v>
      </c>
      <c r="E7" s="57">
        <v>14</v>
      </c>
      <c r="F7" s="57">
        <v>47</v>
      </c>
      <c r="G7" s="57">
        <v>0</v>
      </c>
      <c r="H7" s="57">
        <v>0</v>
      </c>
      <c r="I7" s="57">
        <v>0</v>
      </c>
      <c r="J7" s="57">
        <v>0</v>
      </c>
    </row>
    <row r="8" spans="1:10" ht="21.75" customHeight="1">
      <c r="A8" s="78" t="s">
        <v>149</v>
      </c>
      <c r="B8" s="33">
        <v>241</v>
      </c>
      <c r="C8" s="33">
        <v>57</v>
      </c>
      <c r="D8" s="33">
        <v>70</v>
      </c>
      <c r="E8" s="33">
        <v>10</v>
      </c>
      <c r="F8" s="33">
        <v>23</v>
      </c>
      <c r="G8" s="33">
        <v>0</v>
      </c>
      <c r="H8" s="33">
        <v>0</v>
      </c>
      <c r="I8" s="33">
        <v>81</v>
      </c>
      <c r="J8" s="33">
        <v>0</v>
      </c>
    </row>
    <row r="9" spans="1:10" ht="21.75" customHeight="1">
      <c r="A9" s="37" t="s">
        <v>150</v>
      </c>
      <c r="B9" s="30">
        <v>252</v>
      </c>
      <c r="C9" s="30">
        <v>39</v>
      </c>
      <c r="D9" s="30">
        <v>61</v>
      </c>
      <c r="E9" s="30">
        <v>9</v>
      </c>
      <c r="F9" s="30">
        <v>30</v>
      </c>
      <c r="G9" s="30">
        <v>0</v>
      </c>
      <c r="H9" s="30">
        <v>0</v>
      </c>
      <c r="I9" s="30">
        <v>113</v>
      </c>
      <c r="J9" s="30">
        <v>0</v>
      </c>
    </row>
    <row r="10" spans="1:10" ht="21.75" customHeight="1">
      <c r="A10" s="78" t="s">
        <v>151</v>
      </c>
      <c r="B10" s="33">
        <v>263</v>
      </c>
      <c r="C10" s="33">
        <v>66</v>
      </c>
      <c r="D10" s="33">
        <v>57</v>
      </c>
      <c r="E10" s="33">
        <v>3</v>
      </c>
      <c r="F10" s="33">
        <v>35</v>
      </c>
      <c r="G10" s="33">
        <v>0</v>
      </c>
      <c r="H10" s="33">
        <v>0</v>
      </c>
      <c r="I10" s="33">
        <v>92</v>
      </c>
      <c r="J10" s="33">
        <v>10</v>
      </c>
    </row>
    <row r="11" spans="1:10" ht="21.75" customHeight="1">
      <c r="A11" s="37" t="s">
        <v>152</v>
      </c>
      <c r="B11" s="30">
        <v>195</v>
      </c>
      <c r="C11" s="30">
        <v>40</v>
      </c>
      <c r="D11" s="30">
        <v>39</v>
      </c>
      <c r="E11" s="30">
        <v>6</v>
      </c>
      <c r="F11" s="30">
        <v>25</v>
      </c>
      <c r="G11" s="30">
        <v>0</v>
      </c>
      <c r="H11" s="30">
        <v>0</v>
      </c>
      <c r="I11" s="30">
        <v>82</v>
      </c>
      <c r="J11" s="30">
        <v>3</v>
      </c>
    </row>
    <row r="12" spans="1:10" ht="21.75" customHeight="1">
      <c r="A12" s="78" t="s">
        <v>153</v>
      </c>
      <c r="B12" s="33">
        <v>261</v>
      </c>
      <c r="C12" s="33">
        <v>58</v>
      </c>
      <c r="D12" s="33">
        <v>58</v>
      </c>
      <c r="E12" s="33">
        <v>17</v>
      </c>
      <c r="F12" s="33">
        <v>34</v>
      </c>
      <c r="G12" s="33">
        <v>0</v>
      </c>
      <c r="H12" s="33">
        <v>0</v>
      </c>
      <c r="I12" s="33">
        <v>89</v>
      </c>
      <c r="J12" s="33">
        <v>5</v>
      </c>
    </row>
    <row r="13" spans="1:10" ht="21.75" customHeight="1">
      <c r="A13" s="37" t="s">
        <v>154</v>
      </c>
      <c r="B13" s="30">
        <v>196</v>
      </c>
      <c r="C13" s="30">
        <v>40</v>
      </c>
      <c r="D13" s="30">
        <v>44</v>
      </c>
      <c r="E13" s="30">
        <v>11</v>
      </c>
      <c r="F13" s="30">
        <v>30</v>
      </c>
      <c r="G13" s="30">
        <v>0</v>
      </c>
      <c r="H13" s="30">
        <v>0</v>
      </c>
      <c r="I13" s="30">
        <v>64</v>
      </c>
      <c r="J13" s="30">
        <v>7</v>
      </c>
    </row>
    <row r="14" spans="1:10" ht="21.75" customHeight="1">
      <c r="A14" s="78" t="s">
        <v>155</v>
      </c>
      <c r="B14" s="33">
        <v>192</v>
      </c>
      <c r="C14" s="33">
        <v>32</v>
      </c>
      <c r="D14" s="33">
        <v>43</v>
      </c>
      <c r="E14" s="33">
        <v>8</v>
      </c>
      <c r="F14" s="33">
        <v>28</v>
      </c>
      <c r="G14" s="33">
        <v>0</v>
      </c>
      <c r="H14" s="33">
        <v>0</v>
      </c>
      <c r="I14" s="33">
        <v>79</v>
      </c>
      <c r="J14" s="33">
        <v>2</v>
      </c>
    </row>
    <row r="15" spans="1:10" ht="21.75" customHeight="1">
      <c r="A15" s="37" t="s">
        <v>156</v>
      </c>
      <c r="B15" s="30">
        <v>129</v>
      </c>
      <c r="C15" s="30">
        <v>32</v>
      </c>
      <c r="D15" s="30">
        <v>66</v>
      </c>
      <c r="E15" s="30">
        <v>9</v>
      </c>
      <c r="F15" s="30">
        <v>21</v>
      </c>
      <c r="G15" s="30">
        <v>0</v>
      </c>
      <c r="H15" s="30">
        <v>0</v>
      </c>
      <c r="I15" s="30">
        <v>1</v>
      </c>
      <c r="J15" s="30">
        <v>0</v>
      </c>
    </row>
    <row r="16" spans="1:10" ht="21.75" customHeight="1">
      <c r="A16" s="78" t="s">
        <v>157</v>
      </c>
      <c r="B16" s="33">
        <v>169</v>
      </c>
      <c r="C16" s="33">
        <v>34</v>
      </c>
      <c r="D16" s="33">
        <v>104</v>
      </c>
      <c r="E16" s="33">
        <v>6</v>
      </c>
      <c r="F16" s="33">
        <v>20</v>
      </c>
      <c r="G16" s="33">
        <v>0</v>
      </c>
      <c r="H16" s="33">
        <v>0</v>
      </c>
      <c r="I16" s="33">
        <v>5</v>
      </c>
      <c r="J16" s="40"/>
    </row>
    <row r="17" spans="1:10" ht="21.75" customHeight="1">
      <c r="A17" s="37" t="s">
        <v>158</v>
      </c>
      <c r="B17" s="30">
        <v>159</v>
      </c>
      <c r="C17" s="30">
        <v>44</v>
      </c>
      <c r="D17" s="30">
        <v>74</v>
      </c>
      <c r="E17" s="30">
        <v>16</v>
      </c>
      <c r="F17" s="30">
        <v>22</v>
      </c>
      <c r="G17" s="30">
        <v>0</v>
      </c>
      <c r="H17" s="30">
        <v>0</v>
      </c>
      <c r="I17" s="30">
        <v>3</v>
      </c>
      <c r="J17" s="42"/>
    </row>
    <row r="18" spans="1:10" ht="21.75" customHeight="1">
      <c r="A18" s="78" t="s">
        <v>159</v>
      </c>
      <c r="B18" s="33">
        <v>211</v>
      </c>
      <c r="C18" s="33">
        <v>37</v>
      </c>
      <c r="D18" s="33">
        <v>60</v>
      </c>
      <c r="E18" s="33">
        <v>18</v>
      </c>
      <c r="F18" s="33">
        <v>36</v>
      </c>
      <c r="G18" s="33">
        <v>0</v>
      </c>
      <c r="H18" s="33">
        <v>0</v>
      </c>
      <c r="I18" s="33">
        <v>60</v>
      </c>
      <c r="J18" s="40"/>
    </row>
    <row r="19" spans="1:10" ht="21.75" customHeight="1">
      <c r="A19" s="37" t="s">
        <v>160</v>
      </c>
      <c r="B19" s="30">
        <v>222</v>
      </c>
      <c r="C19" s="30">
        <v>53</v>
      </c>
      <c r="D19" s="30">
        <v>65</v>
      </c>
      <c r="E19" s="30">
        <v>7</v>
      </c>
      <c r="F19" s="30">
        <v>27</v>
      </c>
      <c r="G19" s="30">
        <v>0</v>
      </c>
      <c r="H19" s="30">
        <v>0</v>
      </c>
      <c r="I19" s="30">
        <v>70</v>
      </c>
      <c r="J19" s="42"/>
    </row>
    <row r="20" spans="1:10" ht="21.75" customHeight="1">
      <c r="A20" s="78" t="s">
        <v>161</v>
      </c>
      <c r="B20" s="33">
        <v>295</v>
      </c>
      <c r="C20" s="33">
        <v>44</v>
      </c>
      <c r="D20" s="33">
        <v>133</v>
      </c>
      <c r="E20" s="33">
        <v>21</v>
      </c>
      <c r="F20" s="33">
        <v>31</v>
      </c>
      <c r="G20" s="33">
        <v>0</v>
      </c>
      <c r="H20" s="33">
        <v>0</v>
      </c>
      <c r="I20" s="33">
        <v>66</v>
      </c>
      <c r="J20" s="40"/>
    </row>
    <row r="21" spans="1:10" ht="21.75" customHeight="1">
      <c r="A21" s="37" t="s">
        <v>162</v>
      </c>
      <c r="B21" s="30">
        <v>285</v>
      </c>
      <c r="C21" s="30">
        <v>49</v>
      </c>
      <c r="D21" s="30">
        <v>88</v>
      </c>
      <c r="E21" s="30">
        <v>4</v>
      </c>
      <c r="F21" s="30">
        <v>42</v>
      </c>
      <c r="G21" s="30">
        <v>0</v>
      </c>
      <c r="H21" s="30">
        <v>0</v>
      </c>
      <c r="I21" s="30">
        <v>102</v>
      </c>
      <c r="J21" s="42"/>
    </row>
    <row r="22" spans="1:10" ht="21.75" customHeight="1">
      <c r="A22" s="78" t="s">
        <v>163</v>
      </c>
      <c r="B22" s="33">
        <v>256</v>
      </c>
      <c r="C22" s="33">
        <v>52</v>
      </c>
      <c r="D22" s="33">
        <v>81</v>
      </c>
      <c r="E22" s="33">
        <v>12</v>
      </c>
      <c r="F22" s="33">
        <v>44</v>
      </c>
      <c r="G22" s="33">
        <v>0</v>
      </c>
      <c r="H22" s="33">
        <v>0</v>
      </c>
      <c r="I22" s="33">
        <v>67</v>
      </c>
      <c r="J22" s="40"/>
    </row>
    <row r="23" spans="1:10" ht="21.75" customHeight="1">
      <c r="A23" s="37" t="s">
        <v>164</v>
      </c>
      <c r="B23" s="30">
        <v>173</v>
      </c>
      <c r="C23" s="30">
        <v>51</v>
      </c>
      <c r="D23" s="30">
        <v>43</v>
      </c>
      <c r="E23" s="30">
        <v>12</v>
      </c>
      <c r="F23" s="30">
        <v>21</v>
      </c>
      <c r="G23" s="30">
        <v>0</v>
      </c>
      <c r="H23" s="30">
        <v>0</v>
      </c>
      <c r="I23" s="30">
        <v>46</v>
      </c>
      <c r="J23" s="42"/>
    </row>
    <row r="24" spans="1:10" ht="21.75" customHeight="1">
      <c r="A24" s="78" t="s">
        <v>165</v>
      </c>
      <c r="B24" s="33">
        <v>258</v>
      </c>
      <c r="C24" s="33">
        <v>60</v>
      </c>
      <c r="D24" s="33">
        <v>72</v>
      </c>
      <c r="E24" s="33">
        <v>9</v>
      </c>
      <c r="F24" s="33">
        <v>43</v>
      </c>
      <c r="G24" s="33">
        <v>0</v>
      </c>
      <c r="H24" s="33">
        <v>0</v>
      </c>
      <c r="I24" s="33">
        <v>74</v>
      </c>
      <c r="J24" s="40"/>
    </row>
    <row r="25" spans="1:10" ht="21.75" customHeight="1">
      <c r="A25" s="37" t="s">
        <v>166</v>
      </c>
      <c r="B25" s="30">
        <v>167</v>
      </c>
      <c r="C25" s="30">
        <v>44</v>
      </c>
      <c r="D25" s="30">
        <v>55</v>
      </c>
      <c r="E25" s="30">
        <v>2</v>
      </c>
      <c r="F25" s="30">
        <v>31</v>
      </c>
      <c r="G25" s="30">
        <v>0</v>
      </c>
      <c r="H25" s="30">
        <v>0</v>
      </c>
      <c r="I25" s="30">
        <v>35</v>
      </c>
      <c r="J25" s="42"/>
    </row>
    <row r="26" spans="1:10" ht="21.75" customHeight="1">
      <c r="A26" s="78" t="s">
        <v>167</v>
      </c>
      <c r="B26" s="33">
        <v>213</v>
      </c>
      <c r="C26" s="33">
        <v>29</v>
      </c>
      <c r="D26" s="33">
        <v>69</v>
      </c>
      <c r="E26" s="33">
        <v>12</v>
      </c>
      <c r="F26" s="33">
        <v>48</v>
      </c>
      <c r="G26" s="33">
        <v>0</v>
      </c>
      <c r="H26" s="33">
        <v>1</v>
      </c>
      <c r="I26" s="33">
        <v>54</v>
      </c>
      <c r="J26" s="40"/>
    </row>
    <row r="27" spans="1:10" ht="21.75" customHeight="1">
      <c r="A27" s="37" t="s">
        <v>168</v>
      </c>
      <c r="B27" s="30">
        <v>229</v>
      </c>
      <c r="C27" s="30">
        <v>36</v>
      </c>
      <c r="D27" s="30">
        <v>67</v>
      </c>
      <c r="E27" s="30">
        <v>3</v>
      </c>
      <c r="F27" s="30">
        <v>38</v>
      </c>
      <c r="G27" s="30">
        <v>34</v>
      </c>
      <c r="H27" s="30">
        <v>0</v>
      </c>
      <c r="I27" s="30">
        <v>51</v>
      </c>
      <c r="J27" s="42"/>
    </row>
    <row r="28" spans="1:10" ht="21.75" customHeight="1">
      <c r="A28" s="78" t="s">
        <v>169</v>
      </c>
      <c r="B28" s="33">
        <v>238</v>
      </c>
      <c r="C28" s="33">
        <v>65</v>
      </c>
      <c r="D28" s="33">
        <v>85</v>
      </c>
      <c r="E28" s="33">
        <v>6</v>
      </c>
      <c r="F28" s="33">
        <v>43</v>
      </c>
      <c r="G28" s="33">
        <v>13</v>
      </c>
      <c r="H28" s="33">
        <v>0</v>
      </c>
      <c r="I28" s="33">
        <v>26</v>
      </c>
      <c r="J28" s="40"/>
    </row>
    <row r="29" spans="1:10" ht="21.75" customHeight="1">
      <c r="A29" s="37" t="s">
        <v>170</v>
      </c>
      <c r="B29" s="30">
        <v>207</v>
      </c>
      <c r="C29" s="30">
        <v>40</v>
      </c>
      <c r="D29" s="30">
        <v>85</v>
      </c>
      <c r="E29" s="30">
        <v>5</v>
      </c>
      <c r="F29" s="30">
        <v>39</v>
      </c>
      <c r="G29" s="30">
        <v>10</v>
      </c>
      <c r="H29" s="30">
        <v>0</v>
      </c>
      <c r="I29" s="30">
        <v>28</v>
      </c>
      <c r="J29" s="42"/>
    </row>
    <row r="30" spans="1:10" ht="21.75" customHeight="1">
      <c r="A30" s="78" t="s">
        <v>171</v>
      </c>
      <c r="B30" s="33">
        <v>161</v>
      </c>
      <c r="C30" s="33">
        <v>39</v>
      </c>
      <c r="D30" s="33">
        <v>70</v>
      </c>
      <c r="E30" s="33">
        <v>2</v>
      </c>
      <c r="F30" s="33">
        <v>29</v>
      </c>
      <c r="G30" s="33">
        <v>0</v>
      </c>
      <c r="H30" s="33">
        <v>0</v>
      </c>
      <c r="I30" s="33">
        <v>21</v>
      </c>
      <c r="J30" s="40"/>
    </row>
    <row r="31" spans="1:10" ht="21.75" customHeight="1">
      <c r="A31" s="37" t="s">
        <v>172</v>
      </c>
      <c r="B31" s="30">
        <v>195</v>
      </c>
      <c r="C31" s="30">
        <v>57</v>
      </c>
      <c r="D31" s="30">
        <v>53</v>
      </c>
      <c r="E31" s="30">
        <v>4</v>
      </c>
      <c r="F31" s="30">
        <v>30</v>
      </c>
      <c r="G31" s="30">
        <v>26</v>
      </c>
      <c r="H31" s="30">
        <v>1</v>
      </c>
      <c r="I31" s="30">
        <v>24</v>
      </c>
      <c r="J31" s="42"/>
    </row>
    <row r="32" spans="1:10" ht="21.75" customHeight="1">
      <c r="A32" s="78" t="s">
        <v>173</v>
      </c>
      <c r="B32" s="33">
        <v>172</v>
      </c>
      <c r="C32" s="33">
        <v>49</v>
      </c>
      <c r="D32" s="33">
        <v>58</v>
      </c>
      <c r="E32" s="33">
        <v>7</v>
      </c>
      <c r="F32" s="33">
        <v>38</v>
      </c>
      <c r="G32" s="33">
        <v>3</v>
      </c>
      <c r="H32" s="33">
        <v>0</v>
      </c>
      <c r="I32" s="33">
        <v>17</v>
      </c>
      <c r="J32" s="40"/>
    </row>
    <row r="33" spans="1:10" ht="21.75" customHeight="1">
      <c r="A33" s="37" t="s">
        <v>174</v>
      </c>
      <c r="B33" s="30">
        <v>153</v>
      </c>
      <c r="C33" s="30">
        <v>59</v>
      </c>
      <c r="D33" s="30">
        <v>50</v>
      </c>
      <c r="E33" s="30">
        <v>6</v>
      </c>
      <c r="F33" s="30">
        <v>28</v>
      </c>
      <c r="G33" s="30">
        <v>7</v>
      </c>
      <c r="H33" s="30">
        <v>2</v>
      </c>
      <c r="I33" s="30">
        <v>1</v>
      </c>
      <c r="J33" s="42"/>
    </row>
    <row r="34" spans="1:10" ht="21.75" customHeight="1">
      <c r="A34" s="78" t="s">
        <v>175</v>
      </c>
      <c r="B34" s="33">
        <v>106</v>
      </c>
      <c r="C34" s="33">
        <v>39</v>
      </c>
      <c r="D34" s="33">
        <v>42</v>
      </c>
      <c r="E34" s="33">
        <v>1</v>
      </c>
      <c r="F34" s="33">
        <v>22</v>
      </c>
      <c r="G34" s="33">
        <v>0</v>
      </c>
      <c r="H34" s="33">
        <v>2</v>
      </c>
      <c r="I34" s="40"/>
      <c r="J34" s="40"/>
    </row>
    <row r="35" spans="1:10" ht="21.75" customHeight="1">
      <c r="A35" s="37" t="s">
        <v>176</v>
      </c>
      <c r="B35" s="30">
        <v>106</v>
      </c>
      <c r="C35" s="30">
        <v>30</v>
      </c>
      <c r="D35" s="30">
        <v>52</v>
      </c>
      <c r="E35" s="30">
        <v>4</v>
      </c>
      <c r="F35" s="30">
        <v>15</v>
      </c>
      <c r="G35" s="30">
        <v>3</v>
      </c>
      <c r="H35" s="30">
        <v>2</v>
      </c>
      <c r="I35" s="42"/>
      <c r="J35" s="42"/>
    </row>
    <row r="36" spans="1:10" ht="21.75" customHeight="1">
      <c r="A36" s="78" t="s">
        <v>177</v>
      </c>
      <c r="B36" s="33">
        <v>111</v>
      </c>
      <c r="C36" s="33">
        <v>51</v>
      </c>
      <c r="D36" s="33">
        <v>24</v>
      </c>
      <c r="E36" s="33">
        <v>4</v>
      </c>
      <c r="F36" s="33">
        <v>24</v>
      </c>
      <c r="G36" s="33">
        <v>6</v>
      </c>
      <c r="H36" s="33">
        <v>2</v>
      </c>
      <c r="I36" s="40"/>
      <c r="J36" s="40"/>
    </row>
    <row r="37" spans="1:10" ht="21.75" customHeight="1">
      <c r="A37" s="37" t="s">
        <v>178</v>
      </c>
      <c r="B37" s="30">
        <v>124</v>
      </c>
      <c r="C37" s="30">
        <v>48</v>
      </c>
      <c r="D37" s="30">
        <v>22</v>
      </c>
      <c r="E37" s="30">
        <v>6</v>
      </c>
      <c r="F37" s="30">
        <v>31</v>
      </c>
      <c r="G37" s="30">
        <v>11</v>
      </c>
      <c r="H37" s="30">
        <v>6</v>
      </c>
      <c r="I37" s="42"/>
      <c r="J37" s="42"/>
    </row>
    <row r="38" spans="1:10" ht="21.75" customHeight="1">
      <c r="A38" s="78" t="s">
        <v>179</v>
      </c>
      <c r="B38" s="33">
        <v>120</v>
      </c>
      <c r="C38" s="33">
        <v>50</v>
      </c>
      <c r="D38" s="33">
        <v>29</v>
      </c>
      <c r="E38" s="33">
        <v>0</v>
      </c>
      <c r="F38" s="33">
        <v>39</v>
      </c>
      <c r="G38" s="33">
        <v>0</v>
      </c>
      <c r="H38" s="33">
        <v>2</v>
      </c>
      <c r="I38" s="40"/>
      <c r="J38" s="40"/>
    </row>
    <row r="39" spans="1:10" ht="21.75" customHeight="1">
      <c r="A39" s="37" t="s">
        <v>180</v>
      </c>
      <c r="B39" s="30">
        <v>62</v>
      </c>
      <c r="C39" s="30">
        <v>16</v>
      </c>
      <c r="D39" s="42"/>
      <c r="E39" s="30">
        <v>4</v>
      </c>
      <c r="F39" s="30">
        <v>26</v>
      </c>
      <c r="G39" s="30">
        <v>8</v>
      </c>
      <c r="H39" s="30">
        <v>8</v>
      </c>
      <c r="I39" s="42"/>
      <c r="J39" s="42"/>
    </row>
    <row r="40" spans="1:10" ht="21.75" customHeight="1">
      <c r="A40" s="78" t="s">
        <v>181</v>
      </c>
      <c r="B40" s="33">
        <v>77</v>
      </c>
      <c r="C40" s="33">
        <v>37</v>
      </c>
      <c r="D40" s="40"/>
      <c r="E40" s="33">
        <v>0</v>
      </c>
      <c r="F40" s="33">
        <v>35</v>
      </c>
      <c r="G40" s="33">
        <v>2</v>
      </c>
      <c r="H40" s="33">
        <v>3</v>
      </c>
      <c r="I40" s="40"/>
      <c r="J40" s="40"/>
    </row>
    <row r="41" spans="1:10" ht="21.75" customHeight="1">
      <c r="A41" s="37" t="s">
        <v>182</v>
      </c>
      <c r="B41" s="30">
        <v>109</v>
      </c>
      <c r="C41" s="30">
        <v>36</v>
      </c>
      <c r="D41" s="42"/>
      <c r="E41" s="30">
        <v>2</v>
      </c>
      <c r="F41" s="30">
        <v>48</v>
      </c>
      <c r="G41" s="30">
        <v>8</v>
      </c>
      <c r="H41" s="30">
        <v>15</v>
      </c>
      <c r="I41" s="42"/>
      <c r="J41" s="42"/>
    </row>
    <row r="42" spans="1:10" ht="21.75" customHeight="1">
      <c r="A42" s="78" t="s">
        <v>183</v>
      </c>
      <c r="B42" s="33">
        <v>64</v>
      </c>
      <c r="C42" s="33">
        <v>30</v>
      </c>
      <c r="D42" s="40"/>
      <c r="E42" s="33">
        <v>2</v>
      </c>
      <c r="F42" s="33">
        <v>19</v>
      </c>
      <c r="G42" s="33">
        <v>3</v>
      </c>
      <c r="H42" s="33">
        <v>10</v>
      </c>
      <c r="I42" s="40"/>
      <c r="J42" s="40"/>
    </row>
    <row r="43" spans="1:10" ht="21.75" customHeight="1">
      <c r="A43" s="37" t="s">
        <v>184</v>
      </c>
      <c r="B43" s="30">
        <v>43</v>
      </c>
      <c r="C43" s="30">
        <v>23</v>
      </c>
      <c r="D43" s="42"/>
      <c r="E43" s="30">
        <v>12</v>
      </c>
      <c r="F43" s="30">
        <v>0</v>
      </c>
      <c r="G43" s="30">
        <v>0</v>
      </c>
      <c r="H43" s="30">
        <v>8</v>
      </c>
      <c r="I43" s="42"/>
      <c r="J43" s="42"/>
    </row>
    <row r="44" spans="1:10" ht="21.75" customHeight="1">
      <c r="A44" s="78" t="s">
        <v>185</v>
      </c>
      <c r="B44" s="33">
        <v>23</v>
      </c>
      <c r="C44" s="33">
        <v>18</v>
      </c>
      <c r="D44" s="40"/>
      <c r="E44" s="33">
        <v>5</v>
      </c>
      <c r="F44" s="33">
        <v>0</v>
      </c>
      <c r="G44" s="33">
        <v>0</v>
      </c>
      <c r="H44" s="33">
        <v>0</v>
      </c>
      <c r="I44" s="40"/>
      <c r="J44" s="40"/>
    </row>
    <row r="45" spans="1:10" ht="21.75" customHeight="1">
      <c r="A45" s="37" t="s">
        <v>186</v>
      </c>
      <c r="B45" s="30">
        <v>25</v>
      </c>
      <c r="C45" s="30">
        <v>21</v>
      </c>
      <c r="D45" s="42"/>
      <c r="E45" s="30">
        <v>4</v>
      </c>
      <c r="F45" s="30">
        <v>0</v>
      </c>
      <c r="G45" s="30">
        <v>0</v>
      </c>
      <c r="H45" s="30">
        <v>0</v>
      </c>
      <c r="I45" s="42"/>
      <c r="J45" s="42"/>
    </row>
    <row r="46" spans="1:10" ht="21.75" customHeight="1">
      <c r="A46" s="78" t="s">
        <v>187</v>
      </c>
      <c r="B46" s="33">
        <v>33</v>
      </c>
      <c r="C46" s="33">
        <v>24</v>
      </c>
      <c r="D46" s="40"/>
      <c r="E46" s="33">
        <v>9</v>
      </c>
      <c r="F46" s="33">
        <v>0</v>
      </c>
      <c r="G46" s="33">
        <v>0</v>
      </c>
      <c r="H46" s="33">
        <v>0</v>
      </c>
      <c r="I46" s="40"/>
      <c r="J46" s="40"/>
    </row>
    <row r="47" spans="1:10" ht="21.75" customHeight="1">
      <c r="A47" s="37" t="s">
        <v>188</v>
      </c>
      <c r="B47" s="30">
        <v>47</v>
      </c>
      <c r="C47" s="30">
        <v>37</v>
      </c>
      <c r="D47" s="42"/>
      <c r="E47" s="30">
        <v>10</v>
      </c>
      <c r="F47" s="30">
        <v>0</v>
      </c>
      <c r="G47" s="30">
        <v>0</v>
      </c>
      <c r="H47" s="30">
        <v>0</v>
      </c>
      <c r="I47" s="42"/>
      <c r="J47" s="42"/>
    </row>
    <row r="48" spans="1:10" ht="21.75" customHeight="1">
      <c r="A48" s="78" t="s">
        <v>189</v>
      </c>
      <c r="B48" s="33">
        <v>44</v>
      </c>
      <c r="C48" s="33">
        <v>31</v>
      </c>
      <c r="D48" s="40"/>
      <c r="E48" s="33">
        <v>13</v>
      </c>
      <c r="F48" s="33">
        <v>0</v>
      </c>
      <c r="G48" s="33">
        <v>0</v>
      </c>
      <c r="H48" s="33">
        <v>0</v>
      </c>
      <c r="I48" s="40"/>
      <c r="J48" s="40"/>
    </row>
    <row r="49" spans="1:10" ht="21.75" customHeight="1">
      <c r="A49" s="37" t="s">
        <v>190</v>
      </c>
      <c r="B49" s="30">
        <v>61</v>
      </c>
      <c r="C49" s="30">
        <v>42</v>
      </c>
      <c r="D49" s="42"/>
      <c r="E49" s="30">
        <v>19</v>
      </c>
      <c r="F49" s="30">
        <v>0</v>
      </c>
      <c r="G49" s="30">
        <v>0</v>
      </c>
      <c r="H49" s="30">
        <v>0</v>
      </c>
      <c r="I49" s="42"/>
      <c r="J49" s="42"/>
    </row>
    <row r="50" spans="1:10" ht="21.75" customHeight="1">
      <c r="A50" s="78" t="s">
        <v>191</v>
      </c>
      <c r="B50" s="33">
        <v>67</v>
      </c>
      <c r="C50" s="33">
        <v>47</v>
      </c>
      <c r="D50" s="40"/>
      <c r="E50" s="33">
        <v>20</v>
      </c>
      <c r="F50" s="33">
        <v>0</v>
      </c>
      <c r="G50" s="33">
        <v>0</v>
      </c>
      <c r="H50" s="33">
        <v>0</v>
      </c>
      <c r="I50" s="40"/>
      <c r="J50" s="40"/>
    </row>
    <row r="51" spans="1:10" ht="21.75" customHeight="1">
      <c r="A51" s="37" t="s">
        <v>192</v>
      </c>
      <c r="B51" s="30">
        <v>37</v>
      </c>
      <c r="C51" s="30">
        <v>23</v>
      </c>
      <c r="D51" s="42"/>
      <c r="E51" s="30">
        <v>12</v>
      </c>
      <c r="F51" s="30">
        <v>0</v>
      </c>
      <c r="G51" s="30">
        <v>0</v>
      </c>
      <c r="H51" s="30">
        <v>2</v>
      </c>
      <c r="I51" s="42"/>
      <c r="J51" s="42"/>
    </row>
    <row r="52" spans="1:10" ht="21.75" customHeight="1">
      <c r="A52" s="78" t="s">
        <v>193</v>
      </c>
      <c r="B52" s="33">
        <v>45</v>
      </c>
      <c r="C52" s="33">
        <v>37</v>
      </c>
      <c r="D52" s="40"/>
      <c r="E52" s="33">
        <v>7</v>
      </c>
      <c r="F52" s="33">
        <v>0</v>
      </c>
      <c r="G52" s="33">
        <v>0</v>
      </c>
      <c r="H52" s="33">
        <v>1</v>
      </c>
      <c r="I52" s="40"/>
      <c r="J52" s="40"/>
    </row>
    <row r="53" spans="1:10" ht="21.75" customHeight="1">
      <c r="A53" s="37" t="s">
        <v>194</v>
      </c>
      <c r="B53" s="30">
        <v>36</v>
      </c>
      <c r="C53" s="30">
        <v>30</v>
      </c>
      <c r="D53" s="42"/>
      <c r="E53" s="30">
        <v>5</v>
      </c>
      <c r="F53" s="30">
        <v>0</v>
      </c>
      <c r="G53" s="30">
        <v>0</v>
      </c>
      <c r="H53" s="30">
        <v>1</v>
      </c>
      <c r="I53" s="42"/>
      <c r="J53" s="42"/>
    </row>
    <row r="54" spans="1:10" ht="21.75" customHeight="1">
      <c r="A54" s="78" t="s">
        <v>195</v>
      </c>
      <c r="B54" s="33">
        <v>30</v>
      </c>
      <c r="C54" s="33">
        <v>28</v>
      </c>
      <c r="D54" s="40"/>
      <c r="E54" s="33">
        <v>0</v>
      </c>
      <c r="F54" s="33">
        <v>0</v>
      </c>
      <c r="G54" s="33">
        <v>0</v>
      </c>
      <c r="H54" s="33">
        <v>2</v>
      </c>
      <c r="I54" s="40"/>
      <c r="J54" s="40"/>
    </row>
    <row r="55" spans="1:10" ht="21.75" customHeight="1">
      <c r="A55" s="37" t="s">
        <v>196</v>
      </c>
      <c r="B55" s="30">
        <v>31</v>
      </c>
      <c r="C55" s="30">
        <v>26</v>
      </c>
      <c r="D55" s="42"/>
      <c r="E55" s="30">
        <v>3</v>
      </c>
      <c r="F55" s="30">
        <v>0</v>
      </c>
      <c r="G55" s="30">
        <v>0</v>
      </c>
      <c r="H55" s="30">
        <v>2</v>
      </c>
      <c r="I55" s="42"/>
      <c r="J55" s="42"/>
    </row>
    <row r="56" spans="1:10" ht="21.75" customHeight="1">
      <c r="A56" s="78" t="s">
        <v>197</v>
      </c>
      <c r="B56" s="33">
        <v>31</v>
      </c>
      <c r="C56" s="33">
        <v>28</v>
      </c>
      <c r="D56" s="40"/>
      <c r="E56" s="33">
        <v>2</v>
      </c>
      <c r="F56" s="33">
        <v>0</v>
      </c>
      <c r="G56" s="33">
        <v>0</v>
      </c>
      <c r="H56" s="33">
        <v>1</v>
      </c>
      <c r="I56" s="40"/>
      <c r="J56" s="40"/>
    </row>
    <row r="57" spans="1:10" ht="25.5" customHeight="1">
      <c r="A57" s="37" t="s">
        <v>198</v>
      </c>
      <c r="B57" s="30">
        <v>27</v>
      </c>
      <c r="C57" s="30">
        <v>23</v>
      </c>
      <c r="D57" s="42"/>
      <c r="E57" s="30">
        <v>4</v>
      </c>
      <c r="F57" s="30">
        <v>0</v>
      </c>
      <c r="G57" s="30">
        <v>0</v>
      </c>
      <c r="H57" s="30">
        <v>0</v>
      </c>
      <c r="I57" s="42"/>
      <c r="J57" s="42"/>
    </row>
    <row r="58" spans="1:10" ht="24" customHeight="1">
      <c r="A58" s="68" t="s">
        <v>199</v>
      </c>
      <c r="B58" s="69">
        <f t="shared" ref="B58:J58" si="0">SUM(B4:B57)</f>
        <v>8410</v>
      </c>
      <c r="C58" s="69">
        <f t="shared" si="0"/>
        <v>2262</v>
      </c>
      <c r="D58" s="69">
        <f t="shared" si="0"/>
        <v>2875</v>
      </c>
      <c r="E58" s="69">
        <f t="shared" si="0"/>
        <v>407</v>
      </c>
      <c r="F58" s="69">
        <f t="shared" si="0"/>
        <v>1274</v>
      </c>
      <c r="G58" s="69">
        <f t="shared" si="0"/>
        <v>134</v>
      </c>
      <c r="H58" s="69">
        <f t="shared" si="0"/>
        <v>71</v>
      </c>
      <c r="I58" s="69">
        <f t="shared" si="0"/>
        <v>1351</v>
      </c>
      <c r="J58" s="69">
        <f t="shared" si="0"/>
        <v>27</v>
      </c>
    </row>
  </sheetData>
  <mergeCells count="2">
    <mergeCell ref="A1:J1"/>
    <mergeCell ref="A2:J2"/>
  </mergeCells>
  <phoneticPr fontId="42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showGridLines="0" topLeftCell="A12" zoomScaleNormal="100" workbookViewId="0">
      <selection sqref="A1:I1"/>
    </sheetView>
  </sheetViews>
  <sheetFormatPr defaultColWidth="8.7109375" defaultRowHeight="15"/>
  <cols>
    <col min="1" max="3" width="14" customWidth="1"/>
    <col min="4" max="8" width="12" customWidth="1"/>
    <col min="9" max="9" width="10" customWidth="1"/>
  </cols>
  <sheetData>
    <row r="1" spans="1:9" ht="27.75" customHeight="1">
      <c r="A1" s="6" t="s">
        <v>200</v>
      </c>
      <c r="B1" s="6"/>
      <c r="C1" s="6"/>
      <c r="D1" s="6"/>
      <c r="E1" s="6"/>
      <c r="F1" s="6"/>
      <c r="G1" s="6"/>
      <c r="H1" s="6"/>
      <c r="I1" s="6"/>
    </row>
    <row r="2" spans="1:9" ht="37.5" customHeight="1">
      <c r="A2" s="109" t="s">
        <v>201</v>
      </c>
      <c r="B2" s="109"/>
      <c r="C2" s="109"/>
      <c r="D2" s="109"/>
      <c r="E2" s="109"/>
      <c r="F2" s="109"/>
      <c r="G2" s="109"/>
      <c r="H2" s="109"/>
      <c r="I2" s="109"/>
    </row>
    <row r="3" spans="1:9" ht="21.75" customHeight="1">
      <c r="A3" s="5" t="s">
        <v>202</v>
      </c>
      <c r="B3" s="5"/>
      <c r="C3" s="5"/>
      <c r="D3" s="5"/>
      <c r="E3" s="5"/>
      <c r="F3" s="5"/>
      <c r="G3" s="5"/>
      <c r="H3" s="5"/>
      <c r="I3" s="5"/>
    </row>
    <row r="4" spans="1:9" ht="30" customHeight="1">
      <c r="A4" s="28" t="s">
        <v>203</v>
      </c>
      <c r="B4" s="28" t="s">
        <v>204</v>
      </c>
      <c r="C4" s="28" t="s">
        <v>205</v>
      </c>
      <c r="D4" s="28" t="s">
        <v>206</v>
      </c>
      <c r="E4" s="28" t="s">
        <v>207</v>
      </c>
      <c r="F4" s="28" t="s">
        <v>208</v>
      </c>
      <c r="G4" s="28" t="s">
        <v>209</v>
      </c>
      <c r="H4" s="28" t="s">
        <v>199</v>
      </c>
      <c r="I4" s="28" t="s">
        <v>210</v>
      </c>
    </row>
    <row r="5" spans="1:9" ht="21.75" customHeight="1">
      <c r="A5" s="42" t="s">
        <v>101</v>
      </c>
      <c r="B5" s="79">
        <v>315</v>
      </c>
      <c r="C5" s="54">
        <v>60</v>
      </c>
      <c r="D5" s="30">
        <v>35</v>
      </c>
      <c r="E5" s="30">
        <v>2</v>
      </c>
      <c r="F5" s="30">
        <v>0</v>
      </c>
      <c r="G5" s="30">
        <v>0</v>
      </c>
      <c r="H5" s="30">
        <v>412</v>
      </c>
      <c r="I5" s="31" t="s">
        <v>211</v>
      </c>
    </row>
    <row r="6" spans="1:9" ht="21.75" customHeight="1">
      <c r="A6" s="40" t="s">
        <v>104</v>
      </c>
      <c r="B6" s="45">
        <v>266</v>
      </c>
      <c r="C6" s="44">
        <v>58</v>
      </c>
      <c r="D6" s="33">
        <v>55</v>
      </c>
      <c r="E6" s="33">
        <v>2</v>
      </c>
      <c r="F6" s="33">
        <v>0</v>
      </c>
      <c r="G6" s="33">
        <v>0</v>
      </c>
      <c r="H6" s="33">
        <v>381</v>
      </c>
      <c r="I6" s="36" t="s">
        <v>211</v>
      </c>
    </row>
    <row r="7" spans="1:9" ht="21.75" customHeight="1">
      <c r="A7" s="42" t="s">
        <v>106</v>
      </c>
      <c r="B7" s="79">
        <v>252</v>
      </c>
      <c r="C7" s="54">
        <v>78</v>
      </c>
      <c r="D7" s="30">
        <v>42</v>
      </c>
      <c r="E7" s="30">
        <v>1</v>
      </c>
      <c r="F7" s="30">
        <v>0</v>
      </c>
      <c r="G7" s="30">
        <v>0</v>
      </c>
      <c r="H7" s="30">
        <v>373</v>
      </c>
      <c r="I7" s="31" t="s">
        <v>211</v>
      </c>
    </row>
    <row r="8" spans="1:9" ht="21.75" customHeight="1">
      <c r="A8" s="56" t="s">
        <v>108</v>
      </c>
      <c r="B8" s="80">
        <v>58</v>
      </c>
      <c r="C8" s="59">
        <v>54</v>
      </c>
      <c r="D8" s="57">
        <v>17</v>
      </c>
      <c r="E8" s="57">
        <v>3</v>
      </c>
      <c r="F8" s="57">
        <v>0</v>
      </c>
      <c r="G8" s="57">
        <v>0</v>
      </c>
      <c r="H8" s="57">
        <v>132</v>
      </c>
      <c r="I8" s="61" t="s">
        <v>212</v>
      </c>
    </row>
    <row r="9" spans="1:9" ht="21.75" customHeight="1">
      <c r="A9" s="62" t="s">
        <v>111</v>
      </c>
      <c r="B9" s="81">
        <v>70</v>
      </c>
      <c r="C9" s="65">
        <v>57</v>
      </c>
      <c r="D9" s="63">
        <v>23</v>
      </c>
      <c r="E9" s="63">
        <v>10</v>
      </c>
      <c r="F9" s="63">
        <v>81</v>
      </c>
      <c r="G9" s="63">
        <v>0</v>
      </c>
      <c r="H9" s="63">
        <v>241</v>
      </c>
      <c r="I9" s="67" t="s">
        <v>113</v>
      </c>
    </row>
    <row r="10" spans="1:9" ht="21.75" customHeight="1">
      <c r="A10" s="62" t="s">
        <v>114</v>
      </c>
      <c r="B10" s="81">
        <v>61</v>
      </c>
      <c r="C10" s="65">
        <v>39</v>
      </c>
      <c r="D10" s="63">
        <v>30</v>
      </c>
      <c r="E10" s="63">
        <v>9</v>
      </c>
      <c r="F10" s="63">
        <v>113</v>
      </c>
      <c r="G10" s="63">
        <v>0</v>
      </c>
      <c r="H10" s="63">
        <v>252</v>
      </c>
      <c r="I10" s="67" t="s">
        <v>113</v>
      </c>
    </row>
    <row r="11" spans="1:9" ht="21.75" customHeight="1">
      <c r="A11" s="62" t="s">
        <v>116</v>
      </c>
      <c r="B11" s="81">
        <v>57</v>
      </c>
      <c r="C11" s="65">
        <v>66</v>
      </c>
      <c r="D11" s="63">
        <v>35</v>
      </c>
      <c r="E11" s="63">
        <v>3</v>
      </c>
      <c r="F11" s="63">
        <v>92</v>
      </c>
      <c r="G11" s="63">
        <v>10</v>
      </c>
      <c r="H11" s="63">
        <v>263</v>
      </c>
      <c r="I11" s="67" t="s">
        <v>113</v>
      </c>
    </row>
    <row r="12" spans="1:9" ht="21.75" customHeight="1">
      <c r="A12" s="62" t="s">
        <v>118</v>
      </c>
      <c r="B12" s="81">
        <v>39</v>
      </c>
      <c r="C12" s="65">
        <v>40</v>
      </c>
      <c r="D12" s="63">
        <v>25</v>
      </c>
      <c r="E12" s="63">
        <v>6</v>
      </c>
      <c r="F12" s="63">
        <v>82</v>
      </c>
      <c r="G12" s="63">
        <v>3</v>
      </c>
      <c r="H12" s="63">
        <v>195</v>
      </c>
      <c r="I12" s="67" t="s">
        <v>113</v>
      </c>
    </row>
    <row r="13" spans="1:9" ht="21.75" customHeight="1">
      <c r="A13" s="62" t="s">
        <v>120</v>
      </c>
      <c r="B13" s="81">
        <v>58</v>
      </c>
      <c r="C13" s="65">
        <v>58</v>
      </c>
      <c r="D13" s="63">
        <v>34</v>
      </c>
      <c r="E13" s="63">
        <v>17</v>
      </c>
      <c r="F13" s="63">
        <v>89</v>
      </c>
      <c r="G13" s="63">
        <v>5</v>
      </c>
      <c r="H13" s="63">
        <v>261</v>
      </c>
      <c r="I13" s="67" t="s">
        <v>113</v>
      </c>
    </row>
    <row r="14" spans="1:9" ht="21.75" customHeight="1">
      <c r="A14" s="62" t="s">
        <v>122</v>
      </c>
      <c r="B14" s="81">
        <v>44</v>
      </c>
      <c r="C14" s="65">
        <v>40</v>
      </c>
      <c r="D14" s="63">
        <v>30</v>
      </c>
      <c r="E14" s="63">
        <v>11</v>
      </c>
      <c r="F14" s="63">
        <v>64</v>
      </c>
      <c r="G14" s="63">
        <v>7</v>
      </c>
      <c r="H14" s="63">
        <v>196</v>
      </c>
      <c r="I14" s="67" t="s">
        <v>113</v>
      </c>
    </row>
    <row r="15" spans="1:9" ht="21.75" customHeight="1">
      <c r="A15" s="62" t="s">
        <v>124</v>
      </c>
      <c r="B15" s="81">
        <v>43</v>
      </c>
      <c r="C15" s="65">
        <v>32</v>
      </c>
      <c r="D15" s="63">
        <v>28</v>
      </c>
      <c r="E15" s="63">
        <v>8</v>
      </c>
      <c r="F15" s="63">
        <v>79</v>
      </c>
      <c r="G15" s="63">
        <v>2</v>
      </c>
      <c r="H15" s="63">
        <v>192</v>
      </c>
      <c r="I15" s="67" t="s">
        <v>113</v>
      </c>
    </row>
    <row r="16" spans="1:9" ht="21.75" customHeight="1">
      <c r="A16" s="62" t="s">
        <v>126</v>
      </c>
      <c r="B16" s="81">
        <v>66</v>
      </c>
      <c r="C16" s="65">
        <v>32</v>
      </c>
      <c r="D16" s="63">
        <v>21</v>
      </c>
      <c r="E16" s="63">
        <v>9</v>
      </c>
      <c r="F16" s="63">
        <v>1</v>
      </c>
      <c r="G16" s="63">
        <v>0</v>
      </c>
      <c r="H16" s="63">
        <v>129</v>
      </c>
      <c r="I16" s="67" t="s">
        <v>113</v>
      </c>
    </row>
    <row r="17" spans="1:9" ht="21.75" customHeight="1">
      <c r="A17" s="62" t="s">
        <v>128</v>
      </c>
      <c r="B17" s="81">
        <v>104</v>
      </c>
      <c r="C17" s="65">
        <v>34</v>
      </c>
      <c r="D17" s="63">
        <v>20</v>
      </c>
      <c r="E17" s="63">
        <v>6</v>
      </c>
      <c r="F17" s="63">
        <v>5</v>
      </c>
      <c r="G17" s="63">
        <v>0</v>
      </c>
      <c r="H17" s="63">
        <v>169</v>
      </c>
      <c r="I17" s="67" t="s">
        <v>113</v>
      </c>
    </row>
    <row r="18" spans="1:9" ht="25.5" customHeight="1">
      <c r="A18" s="68" t="s">
        <v>199</v>
      </c>
      <c r="B18" s="69">
        <f t="shared" ref="B18:H18" si="0">SUM(B5:B17)</f>
        <v>1433</v>
      </c>
      <c r="C18" s="69">
        <f t="shared" si="0"/>
        <v>648</v>
      </c>
      <c r="D18" s="69">
        <f t="shared" si="0"/>
        <v>395</v>
      </c>
      <c r="E18" s="69">
        <f t="shared" si="0"/>
        <v>87</v>
      </c>
      <c r="F18" s="69">
        <f t="shared" si="0"/>
        <v>606</v>
      </c>
      <c r="G18" s="69">
        <f t="shared" si="0"/>
        <v>27</v>
      </c>
      <c r="H18" s="69">
        <f t="shared" si="0"/>
        <v>3196</v>
      </c>
      <c r="I18" s="71"/>
    </row>
    <row r="19" spans="1:9" ht="7.5" customHeight="1">
      <c r="A19" s="25"/>
      <c r="B19" s="25"/>
      <c r="C19" s="25"/>
      <c r="D19" s="25"/>
      <c r="E19" s="25"/>
      <c r="F19" s="25"/>
      <c r="G19" s="25"/>
      <c r="H19" s="25"/>
      <c r="I19" s="25"/>
    </row>
    <row r="20" spans="1:9" ht="21.75" customHeight="1">
      <c r="A20" s="111" t="s">
        <v>213</v>
      </c>
      <c r="B20" s="111"/>
      <c r="C20" s="111"/>
      <c r="D20" s="111"/>
      <c r="E20" s="111"/>
      <c r="F20" s="111"/>
      <c r="G20" s="111"/>
      <c r="H20" s="111"/>
      <c r="I20" s="111"/>
    </row>
    <row r="21" spans="1:9" ht="30" customHeight="1">
      <c r="A21" s="50" t="s">
        <v>214</v>
      </c>
      <c r="B21" s="28" t="s">
        <v>215</v>
      </c>
      <c r="C21" s="28" t="s">
        <v>216</v>
      </c>
      <c r="D21" s="28" t="s">
        <v>217</v>
      </c>
      <c r="E21" s="28" t="s">
        <v>218</v>
      </c>
      <c r="F21" s="50"/>
      <c r="G21" s="50"/>
      <c r="H21" s="50"/>
      <c r="I21" s="28" t="s">
        <v>219</v>
      </c>
    </row>
    <row r="22" spans="1:9" ht="21.75" customHeight="1">
      <c r="A22" s="41" t="s">
        <v>220</v>
      </c>
      <c r="B22" s="33">
        <v>891</v>
      </c>
      <c r="C22" s="82">
        <f>B22/B31</f>
        <v>0.45598771750255884</v>
      </c>
      <c r="D22" s="33">
        <v>9306</v>
      </c>
      <c r="E22" s="52">
        <f>B22/D22</f>
        <v>9.5744680851063829E-2</v>
      </c>
      <c r="F22" s="40"/>
      <c r="G22" s="40"/>
      <c r="H22" s="40"/>
      <c r="I22" s="41" t="s">
        <v>221</v>
      </c>
    </row>
    <row r="23" spans="1:9" ht="21.75" customHeight="1">
      <c r="A23" s="43" t="s">
        <v>222</v>
      </c>
      <c r="B23" s="54">
        <v>250</v>
      </c>
      <c r="C23" s="83">
        <f>B23/B31</f>
        <v>0.12794268167860798</v>
      </c>
      <c r="D23" s="30">
        <v>8420</v>
      </c>
      <c r="E23" s="55">
        <f>B23/D23</f>
        <v>2.9691211401425176E-2</v>
      </c>
      <c r="F23" s="42"/>
      <c r="G23" s="42"/>
      <c r="H23" s="42"/>
      <c r="I23" s="43" t="s">
        <v>223</v>
      </c>
    </row>
    <row r="24" spans="1:9" ht="21.75" customHeight="1">
      <c r="A24" s="41" t="s">
        <v>224</v>
      </c>
      <c r="B24" s="33">
        <v>149</v>
      </c>
      <c r="C24" s="82">
        <f>B24/B31</f>
        <v>7.6253838280450362E-2</v>
      </c>
      <c r="D24" s="40" t="s">
        <v>56</v>
      </c>
      <c r="E24" s="52" t="s">
        <v>56</v>
      </c>
      <c r="F24" s="40"/>
      <c r="G24" s="40"/>
      <c r="H24" s="40"/>
      <c r="I24" s="41" t="s">
        <v>225</v>
      </c>
    </row>
    <row r="25" spans="1:9" ht="21.75" customHeight="1">
      <c r="A25" s="42" t="s">
        <v>226</v>
      </c>
      <c r="B25" s="30">
        <v>38</v>
      </c>
      <c r="C25" s="83">
        <f>B25/B31</f>
        <v>1.9447287615148412E-2</v>
      </c>
      <c r="D25" s="42" t="s">
        <v>56</v>
      </c>
      <c r="E25" s="55" t="s">
        <v>56</v>
      </c>
      <c r="F25" s="42"/>
      <c r="G25" s="42"/>
      <c r="H25" s="42"/>
      <c r="I25" s="43" t="s">
        <v>225</v>
      </c>
    </row>
    <row r="26" spans="1:9" ht="21.75" customHeight="1">
      <c r="A26" s="41" t="s">
        <v>227</v>
      </c>
      <c r="B26" s="33">
        <v>600</v>
      </c>
      <c r="C26" s="82">
        <f>B26/B31</f>
        <v>0.30706243602865918</v>
      </c>
      <c r="D26" s="40" t="s">
        <v>56</v>
      </c>
      <c r="E26" s="52" t="s">
        <v>56</v>
      </c>
      <c r="F26" s="40"/>
      <c r="G26" s="40"/>
      <c r="H26" s="40"/>
      <c r="I26" s="41" t="s">
        <v>228</v>
      </c>
    </row>
    <row r="27" spans="1:9" ht="21.75" customHeight="1">
      <c r="A27" s="43" t="s">
        <v>229</v>
      </c>
      <c r="B27" s="30">
        <v>15</v>
      </c>
      <c r="C27" s="83">
        <f>B27/B31</f>
        <v>7.6765609007164786E-3</v>
      </c>
      <c r="D27" s="42" t="s">
        <v>56</v>
      </c>
      <c r="E27" s="55" t="s">
        <v>56</v>
      </c>
      <c r="F27" s="42"/>
      <c r="G27" s="42"/>
      <c r="H27" s="42"/>
      <c r="I27" s="43" t="s">
        <v>228</v>
      </c>
    </row>
    <row r="28" spans="1:9" ht="21.75" customHeight="1">
      <c r="A28" s="41" t="s">
        <v>230</v>
      </c>
      <c r="B28" s="33">
        <v>6</v>
      </c>
      <c r="C28" s="82">
        <f>B28/B31</f>
        <v>3.0706243602865915E-3</v>
      </c>
      <c r="D28" s="40" t="s">
        <v>56</v>
      </c>
      <c r="E28" s="52" t="s">
        <v>56</v>
      </c>
      <c r="F28" s="40"/>
      <c r="G28" s="40"/>
      <c r="H28" s="40"/>
      <c r="I28" s="41" t="s">
        <v>228</v>
      </c>
    </row>
    <row r="29" spans="1:9" ht="21.75" customHeight="1">
      <c r="A29" s="43" t="s">
        <v>231</v>
      </c>
      <c r="B29" s="30">
        <v>4</v>
      </c>
      <c r="C29" s="83">
        <f>B29/B31</f>
        <v>2.0470829068577278E-3</v>
      </c>
      <c r="D29" s="42" t="s">
        <v>56</v>
      </c>
      <c r="E29" s="55" t="s">
        <v>56</v>
      </c>
      <c r="F29" s="42"/>
      <c r="G29" s="42"/>
      <c r="H29" s="42"/>
      <c r="I29" s="43" t="s">
        <v>228</v>
      </c>
    </row>
    <row r="30" spans="1:9" ht="21.75" customHeight="1">
      <c r="A30" s="41" t="s">
        <v>232</v>
      </c>
      <c r="B30" s="33">
        <v>1</v>
      </c>
      <c r="C30" s="82">
        <f>B30/B31</f>
        <v>5.1177072671443195E-4</v>
      </c>
      <c r="D30" s="40" t="s">
        <v>56</v>
      </c>
      <c r="E30" s="52" t="s">
        <v>56</v>
      </c>
      <c r="F30" s="40"/>
      <c r="G30" s="40"/>
      <c r="H30" s="40"/>
      <c r="I30" s="41" t="s">
        <v>228</v>
      </c>
    </row>
    <row r="31" spans="1:9" ht="25.5" customHeight="1">
      <c r="A31" s="68" t="s">
        <v>199</v>
      </c>
      <c r="B31" s="69">
        <f>SUM(B22:B30)</f>
        <v>1954</v>
      </c>
      <c r="C31" s="71" t="s">
        <v>233</v>
      </c>
      <c r="D31" s="71" t="s">
        <v>56</v>
      </c>
      <c r="E31" s="71" t="s">
        <v>56</v>
      </c>
      <c r="F31" s="71"/>
      <c r="G31" s="71"/>
      <c r="H31" s="71"/>
      <c r="I31" s="71"/>
    </row>
  </sheetData>
  <mergeCells count="4">
    <mergeCell ref="A1:I1"/>
    <mergeCell ref="A2:I2"/>
    <mergeCell ref="A3:I3"/>
    <mergeCell ref="A20:I20"/>
  </mergeCells>
  <phoneticPr fontId="42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showGridLines="0" topLeftCell="A11" zoomScaleNormal="100" workbookViewId="0">
      <selection sqref="A1:F1"/>
    </sheetView>
  </sheetViews>
  <sheetFormatPr defaultColWidth="8.7109375" defaultRowHeight="15"/>
  <cols>
    <col min="1" max="1" width="22" customWidth="1"/>
    <col min="2" max="2" width="16" customWidth="1"/>
    <col min="3" max="3" width="14" customWidth="1"/>
    <col min="4" max="5" width="12" customWidth="1"/>
    <col min="6" max="6" width="16" customWidth="1"/>
  </cols>
  <sheetData>
    <row r="1" spans="1:6" ht="27.75" customHeight="1">
      <c r="A1" s="6" t="s">
        <v>234</v>
      </c>
      <c r="B1" s="6"/>
      <c r="C1" s="6"/>
      <c r="D1" s="6"/>
      <c r="E1" s="6"/>
      <c r="F1" s="6"/>
    </row>
    <row r="2" spans="1:6" ht="7.5" customHeight="1">
      <c r="A2" s="25"/>
      <c r="B2" s="25"/>
      <c r="C2" s="25"/>
      <c r="D2" s="25"/>
      <c r="E2" s="25"/>
      <c r="F2" s="25"/>
    </row>
    <row r="3" spans="1:6" ht="21.75" customHeight="1">
      <c r="A3" s="5" t="s">
        <v>235</v>
      </c>
      <c r="B3" s="5"/>
      <c r="C3" s="5"/>
      <c r="D3" s="5"/>
      <c r="E3" s="5"/>
      <c r="F3" s="5"/>
    </row>
    <row r="4" spans="1:6" ht="27.75" customHeight="1">
      <c r="A4" s="50" t="s">
        <v>236</v>
      </c>
      <c r="B4" s="28" t="s">
        <v>237</v>
      </c>
      <c r="C4" s="28" t="s">
        <v>238</v>
      </c>
      <c r="D4" s="28" t="s">
        <v>239</v>
      </c>
      <c r="E4" s="28"/>
      <c r="F4" s="28" t="s">
        <v>73</v>
      </c>
    </row>
    <row r="5" spans="1:6" ht="21.75" customHeight="1">
      <c r="A5" s="37" t="s">
        <v>240</v>
      </c>
      <c r="B5" s="29" t="s">
        <v>241</v>
      </c>
      <c r="C5" s="30">
        <v>2989127</v>
      </c>
      <c r="D5" s="84" t="s">
        <v>56</v>
      </c>
      <c r="E5" s="42"/>
      <c r="F5" s="31"/>
    </row>
    <row r="6" spans="1:6" ht="21.75" customHeight="1">
      <c r="A6" s="78" t="s">
        <v>242</v>
      </c>
      <c r="B6" s="32" t="s">
        <v>243</v>
      </c>
      <c r="C6" s="33">
        <v>8420</v>
      </c>
      <c r="D6" s="85">
        <f>C6/C5</f>
        <v>2.8168759641192895E-3</v>
      </c>
      <c r="E6" s="40"/>
      <c r="F6" s="34" t="s">
        <v>244</v>
      </c>
    </row>
    <row r="7" spans="1:6" ht="21.75" customHeight="1">
      <c r="A7" s="37" t="s">
        <v>245</v>
      </c>
      <c r="B7" s="37" t="s">
        <v>246</v>
      </c>
      <c r="C7" s="30">
        <v>250</v>
      </c>
      <c r="D7" s="86">
        <f>C7/C6</f>
        <v>2.9691211401425176E-2</v>
      </c>
      <c r="E7" s="42"/>
      <c r="F7" s="39" t="s">
        <v>247</v>
      </c>
    </row>
    <row r="8" spans="1:6" ht="7.5" customHeight="1">
      <c r="A8" s="25"/>
      <c r="B8" s="25"/>
      <c r="C8" s="25"/>
      <c r="D8" s="25"/>
      <c r="E8" s="25"/>
      <c r="F8" s="25"/>
    </row>
    <row r="9" spans="1:6" ht="21.75" customHeight="1">
      <c r="A9" s="5" t="s">
        <v>248</v>
      </c>
      <c r="B9" s="5"/>
      <c r="C9" s="5"/>
      <c r="D9" s="5"/>
      <c r="E9" s="5"/>
      <c r="F9" s="5"/>
    </row>
    <row r="10" spans="1:6" ht="27.75" customHeight="1">
      <c r="A10" s="28" t="s">
        <v>203</v>
      </c>
      <c r="B10" s="28" t="s">
        <v>7</v>
      </c>
      <c r="C10" s="28" t="s">
        <v>217</v>
      </c>
      <c r="D10" s="28" t="s">
        <v>249</v>
      </c>
      <c r="E10" s="50" t="s">
        <v>250</v>
      </c>
      <c r="F10" s="28" t="s">
        <v>218</v>
      </c>
    </row>
    <row r="11" spans="1:6" ht="21.75" customHeight="1">
      <c r="A11" s="42" t="s">
        <v>101</v>
      </c>
      <c r="B11" s="30">
        <v>184205</v>
      </c>
      <c r="C11" s="30">
        <v>1290</v>
      </c>
      <c r="D11" s="87">
        <f>C11/B11</f>
        <v>7.0030672348741895E-3</v>
      </c>
      <c r="E11" s="54">
        <v>60</v>
      </c>
      <c r="F11" s="86">
        <f>E11/C11</f>
        <v>4.6511627906976744E-2</v>
      </c>
    </row>
    <row r="12" spans="1:6" ht="21.75" customHeight="1">
      <c r="A12" s="40" t="s">
        <v>104</v>
      </c>
      <c r="B12" s="33">
        <v>175225</v>
      </c>
      <c r="C12" s="33">
        <v>1301</v>
      </c>
      <c r="D12" s="88">
        <f>C12/B12</f>
        <v>7.4247396204879437E-3</v>
      </c>
      <c r="E12" s="44">
        <v>58</v>
      </c>
      <c r="F12" s="85">
        <f>E12/C12</f>
        <v>4.4581091468101464E-2</v>
      </c>
    </row>
    <row r="13" spans="1:6" ht="21.75" customHeight="1">
      <c r="A13" s="42" t="s">
        <v>106</v>
      </c>
      <c r="B13" s="30">
        <v>297636</v>
      </c>
      <c r="C13" s="30">
        <v>1595</v>
      </c>
      <c r="D13" s="87">
        <f>C13/B13</f>
        <v>5.3588947573546212E-3</v>
      </c>
      <c r="E13" s="54">
        <v>78</v>
      </c>
      <c r="F13" s="86">
        <f>E13/C13</f>
        <v>4.8902821316614421E-2</v>
      </c>
    </row>
    <row r="14" spans="1:6" ht="21.75" customHeight="1">
      <c r="A14" s="40" t="s">
        <v>108</v>
      </c>
      <c r="B14" s="33">
        <v>372964</v>
      </c>
      <c r="C14" s="33">
        <v>1840</v>
      </c>
      <c r="D14" s="88">
        <f>C14/B14</f>
        <v>4.9334520221790846E-3</v>
      </c>
      <c r="E14" s="44">
        <v>54</v>
      </c>
      <c r="F14" s="85">
        <f>E14/C14</f>
        <v>2.9347826086956522E-2</v>
      </c>
    </row>
    <row r="15" spans="1:6" ht="21.75" customHeight="1">
      <c r="A15" s="42" t="s">
        <v>111</v>
      </c>
      <c r="B15" s="30">
        <v>229602</v>
      </c>
      <c r="C15" s="30">
        <v>2394</v>
      </c>
      <c r="D15" s="87">
        <f>C15/B15</f>
        <v>1.0426738443044922E-2</v>
      </c>
      <c r="E15" s="54">
        <v>0</v>
      </c>
      <c r="F15" s="84" t="s">
        <v>56</v>
      </c>
    </row>
    <row r="16" spans="1:6" ht="7.5" customHeight="1"/>
    <row r="17" spans="1:6" ht="39.75" customHeight="1">
      <c r="A17" s="112" t="s">
        <v>251</v>
      </c>
      <c r="B17" s="112"/>
      <c r="C17" s="112"/>
      <c r="D17" s="112"/>
      <c r="E17" s="112"/>
      <c r="F17" s="112"/>
    </row>
  </sheetData>
  <mergeCells count="4">
    <mergeCell ref="A1:F1"/>
    <mergeCell ref="A3:F3"/>
    <mergeCell ref="A9:F9"/>
    <mergeCell ref="A17:F17"/>
  </mergeCells>
  <phoneticPr fontId="42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showGridLines="0" zoomScaleNormal="100" workbookViewId="0">
      <selection sqref="A1:F1"/>
    </sheetView>
  </sheetViews>
  <sheetFormatPr defaultColWidth="8.7109375" defaultRowHeight="15"/>
  <cols>
    <col min="1" max="1" width="22" customWidth="1"/>
    <col min="2" max="2" width="13" customWidth="1"/>
    <col min="3" max="3" width="10" customWidth="1"/>
    <col min="4" max="4" width="12" customWidth="1"/>
    <col min="5" max="6" width="10" customWidth="1"/>
  </cols>
  <sheetData>
    <row r="1" spans="1:6" ht="27.75" customHeight="1">
      <c r="A1" s="6" t="s">
        <v>252</v>
      </c>
      <c r="B1" s="6"/>
      <c r="C1" s="6"/>
      <c r="D1" s="6"/>
      <c r="E1" s="6"/>
      <c r="F1" s="6"/>
    </row>
    <row r="2" spans="1:6" ht="7.5" customHeight="1">
      <c r="A2" s="25"/>
      <c r="B2" s="25"/>
      <c r="C2" s="25"/>
      <c r="D2" s="25"/>
      <c r="E2" s="25"/>
      <c r="F2" s="25"/>
    </row>
    <row r="3" spans="1:6" ht="21.75" customHeight="1">
      <c r="A3" s="5" t="s">
        <v>253</v>
      </c>
      <c r="B3" s="5"/>
      <c r="C3" s="5"/>
      <c r="D3" s="5"/>
      <c r="E3" s="5"/>
      <c r="F3" s="5"/>
    </row>
    <row r="4" spans="1:6" ht="27.75" customHeight="1">
      <c r="A4" s="28" t="s">
        <v>254</v>
      </c>
      <c r="B4" s="28" t="s">
        <v>255</v>
      </c>
      <c r="C4" s="28" t="s">
        <v>216</v>
      </c>
      <c r="D4" s="28" t="s">
        <v>57</v>
      </c>
      <c r="E4" s="50" t="s">
        <v>98</v>
      </c>
      <c r="F4" s="50" t="s">
        <v>99</v>
      </c>
    </row>
    <row r="5" spans="1:6" ht="21.75" customHeight="1">
      <c r="A5" s="43" t="s">
        <v>256</v>
      </c>
      <c r="B5" s="30">
        <v>428854</v>
      </c>
      <c r="C5" s="89">
        <v>0.40820000000000001</v>
      </c>
      <c r="D5" s="30">
        <v>309676</v>
      </c>
      <c r="E5" s="30">
        <v>406</v>
      </c>
      <c r="F5" s="90">
        <v>9.4600000000000001E-4</v>
      </c>
    </row>
    <row r="6" spans="1:6" ht="21.75" customHeight="1">
      <c r="A6" s="41" t="s">
        <v>257</v>
      </c>
      <c r="B6" s="33">
        <v>319659</v>
      </c>
      <c r="C6" s="91">
        <v>0.30430000000000001</v>
      </c>
      <c r="D6" s="33">
        <v>270197</v>
      </c>
      <c r="E6" s="33">
        <v>118</v>
      </c>
      <c r="F6" s="92">
        <v>3.6900000000000002E-4</v>
      </c>
    </row>
    <row r="7" spans="1:6" ht="21.75" customHeight="1">
      <c r="A7" s="29" t="s">
        <v>258</v>
      </c>
      <c r="B7" s="30">
        <v>215995</v>
      </c>
      <c r="C7" s="89">
        <v>0.2056</v>
      </c>
      <c r="D7" s="30">
        <v>181438</v>
      </c>
      <c r="E7" s="54">
        <v>723</v>
      </c>
      <c r="F7" s="93">
        <v>3.3470000000000001E-3</v>
      </c>
    </row>
    <row r="8" spans="1:6" ht="21.75" customHeight="1">
      <c r="A8" s="41" t="s">
        <v>259</v>
      </c>
      <c r="B8" s="33">
        <v>66031</v>
      </c>
      <c r="C8" s="91">
        <v>6.2899999999999998E-2</v>
      </c>
      <c r="D8" s="33">
        <v>45671</v>
      </c>
      <c r="E8" s="33">
        <v>69</v>
      </c>
      <c r="F8" s="92">
        <v>1.0449999999999999E-3</v>
      </c>
    </row>
    <row r="9" spans="1:6" ht="21.75" customHeight="1">
      <c r="A9" s="42" t="s">
        <v>260</v>
      </c>
      <c r="B9" s="30">
        <v>9930</v>
      </c>
      <c r="C9" s="89">
        <v>9.4999999999999998E-3</v>
      </c>
      <c r="D9" s="30">
        <v>8911</v>
      </c>
      <c r="E9" s="30">
        <v>10</v>
      </c>
      <c r="F9" s="90">
        <v>1.0070000000000001E-3</v>
      </c>
    </row>
    <row r="10" spans="1:6" ht="21.75" customHeight="1">
      <c r="A10" s="41" t="s">
        <v>261</v>
      </c>
      <c r="B10" s="33">
        <v>4228</v>
      </c>
      <c r="C10" s="91">
        <v>4.0000000000000001E-3</v>
      </c>
      <c r="D10" s="33">
        <v>2249</v>
      </c>
      <c r="E10" s="33">
        <v>26</v>
      </c>
      <c r="F10" s="92">
        <v>6.1520000000000004E-3</v>
      </c>
    </row>
    <row r="11" spans="1:6" ht="21.75" customHeight="1">
      <c r="A11" s="43" t="s">
        <v>262</v>
      </c>
      <c r="B11" s="30">
        <v>3417</v>
      </c>
      <c r="C11" s="89">
        <v>3.3E-3</v>
      </c>
      <c r="D11" s="30">
        <v>2758</v>
      </c>
      <c r="E11" s="30">
        <v>2</v>
      </c>
      <c r="F11" s="90">
        <v>5.8600000000000004E-4</v>
      </c>
    </row>
    <row r="12" spans="1:6" ht="21.75" customHeight="1">
      <c r="A12" s="41" t="s">
        <v>263</v>
      </c>
      <c r="B12" s="33">
        <v>1378</v>
      </c>
      <c r="C12" s="91">
        <v>1.2999999999999999E-3</v>
      </c>
      <c r="D12" s="33">
        <v>1012</v>
      </c>
      <c r="E12" s="33">
        <v>0</v>
      </c>
      <c r="F12" s="92">
        <v>0</v>
      </c>
    </row>
    <row r="13" spans="1:6" ht="21.75" customHeight="1">
      <c r="A13" s="43" t="s">
        <v>264</v>
      </c>
      <c r="B13" s="30">
        <v>856</v>
      </c>
      <c r="C13" s="89">
        <v>8.0000000000000004E-4</v>
      </c>
      <c r="D13" s="30">
        <v>708</v>
      </c>
      <c r="E13" s="30">
        <v>0</v>
      </c>
      <c r="F13" s="90">
        <v>0</v>
      </c>
    </row>
    <row r="14" spans="1:6" ht="25.5" customHeight="1">
      <c r="A14" s="68" t="s">
        <v>199</v>
      </c>
      <c r="B14" s="69">
        <f>SUM(B5:B13)</f>
        <v>1050348</v>
      </c>
      <c r="C14" s="94">
        <f>SUM(C5:C13)</f>
        <v>0.9998999999999999</v>
      </c>
      <c r="D14" s="69">
        <f>SUM(D5:D13)</f>
        <v>822620</v>
      </c>
      <c r="E14" s="69">
        <f>SUM(E5:E13)</f>
        <v>1354</v>
      </c>
      <c r="F14" s="72">
        <f>E14/B14</f>
        <v>1.2890965660904768E-3</v>
      </c>
    </row>
    <row r="15" spans="1:6" ht="7.5" customHeight="1">
      <c r="A15" s="25"/>
      <c r="B15" s="25"/>
      <c r="C15" s="25"/>
      <c r="D15" s="25"/>
      <c r="E15" s="25"/>
      <c r="F15" s="25"/>
    </row>
  </sheetData>
  <mergeCells count="2">
    <mergeCell ref="A1:F1"/>
    <mergeCell ref="A3:F3"/>
  </mergeCells>
  <phoneticPr fontId="42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"/>
  <sheetViews>
    <sheetView showGridLines="0" zoomScaleNormal="100" workbookViewId="0">
      <selection sqref="A1:H1"/>
    </sheetView>
  </sheetViews>
  <sheetFormatPr defaultColWidth="8.7109375" defaultRowHeight="15"/>
  <cols>
    <col min="1" max="1" width="3" customWidth="1"/>
    <col min="2" max="2" width="32" customWidth="1"/>
    <col min="3" max="4" width="11" customWidth="1"/>
    <col min="5" max="5" width="10" customWidth="1"/>
    <col min="6" max="7" width="12" customWidth="1"/>
    <col min="8" max="8" width="10" customWidth="1"/>
  </cols>
  <sheetData>
    <row r="1" spans="1:8" ht="27.75" customHeight="1">
      <c r="A1" s="6" t="s">
        <v>265</v>
      </c>
      <c r="B1" s="6"/>
      <c r="C1" s="6"/>
      <c r="D1" s="6"/>
      <c r="E1" s="6"/>
      <c r="F1" s="6"/>
      <c r="G1" s="6"/>
      <c r="H1" s="6"/>
    </row>
    <row r="2" spans="1:8" ht="7.5" customHeight="1">
      <c r="A2" s="25"/>
      <c r="B2" s="25"/>
      <c r="C2" s="25"/>
      <c r="D2" s="25"/>
      <c r="E2" s="25"/>
      <c r="F2" s="25"/>
      <c r="G2" s="25"/>
      <c r="H2" s="25"/>
    </row>
    <row r="3" spans="1:8" ht="21.75" customHeight="1">
      <c r="A3" s="5" t="s">
        <v>266</v>
      </c>
      <c r="B3" s="5"/>
      <c r="C3" s="5"/>
      <c r="D3" s="5"/>
      <c r="E3" s="5"/>
      <c r="F3" s="5"/>
      <c r="G3" s="5"/>
      <c r="H3" s="5"/>
    </row>
    <row r="4" spans="1:8" ht="27.75" customHeight="1">
      <c r="A4" s="50" t="s">
        <v>267</v>
      </c>
      <c r="B4" s="28" t="s">
        <v>268</v>
      </c>
      <c r="C4" s="28" t="s">
        <v>255</v>
      </c>
      <c r="D4" s="28" t="s">
        <v>57</v>
      </c>
      <c r="E4" s="50" t="s">
        <v>97</v>
      </c>
      <c r="F4" s="28" t="s">
        <v>269</v>
      </c>
      <c r="G4" s="28" t="s">
        <v>270</v>
      </c>
      <c r="H4" s="50" t="s">
        <v>99</v>
      </c>
    </row>
    <row r="5" spans="1:8" ht="21.75" customHeight="1">
      <c r="A5" s="30">
        <v>1</v>
      </c>
      <c r="B5" s="42" t="s">
        <v>271</v>
      </c>
      <c r="C5" s="30">
        <v>27228</v>
      </c>
      <c r="D5" s="30">
        <v>22983</v>
      </c>
      <c r="E5" s="42" t="s">
        <v>272</v>
      </c>
      <c r="F5" s="42" t="s">
        <v>273</v>
      </c>
      <c r="G5" s="30">
        <v>2</v>
      </c>
      <c r="H5" s="42" t="s">
        <v>274</v>
      </c>
    </row>
    <row r="6" spans="1:8" ht="21.75" customHeight="1">
      <c r="A6" s="33">
        <v>2</v>
      </c>
      <c r="B6" s="40" t="s">
        <v>275</v>
      </c>
      <c r="C6" s="33">
        <v>4461</v>
      </c>
      <c r="D6" s="33">
        <v>3378</v>
      </c>
      <c r="E6" s="40" t="s">
        <v>276</v>
      </c>
      <c r="F6" s="40" t="s">
        <v>277</v>
      </c>
      <c r="G6" s="33">
        <v>11</v>
      </c>
      <c r="H6" s="40" t="s">
        <v>278</v>
      </c>
    </row>
    <row r="7" spans="1:8" ht="21.75" customHeight="1">
      <c r="A7" s="30">
        <v>3</v>
      </c>
      <c r="B7" s="42" t="s">
        <v>279</v>
      </c>
      <c r="C7" s="30">
        <v>3501</v>
      </c>
      <c r="D7" s="30">
        <v>2641</v>
      </c>
      <c r="E7" s="42" t="s">
        <v>280</v>
      </c>
      <c r="F7" s="42" t="s">
        <v>281</v>
      </c>
      <c r="G7" s="30">
        <v>17</v>
      </c>
      <c r="H7" s="42" t="s">
        <v>282</v>
      </c>
    </row>
    <row r="8" spans="1:8" ht="21.75" customHeight="1">
      <c r="A8" s="33">
        <v>4</v>
      </c>
      <c r="B8" s="40" t="s">
        <v>283</v>
      </c>
      <c r="C8" s="33">
        <v>2504</v>
      </c>
      <c r="D8" s="33">
        <v>1952</v>
      </c>
      <c r="E8" s="40" t="s">
        <v>284</v>
      </c>
      <c r="F8" s="40" t="s">
        <v>285</v>
      </c>
      <c r="G8" s="33">
        <v>5</v>
      </c>
      <c r="H8" s="40" t="s">
        <v>286</v>
      </c>
    </row>
    <row r="9" spans="1:8" ht="21.75" customHeight="1">
      <c r="A9" s="30">
        <v>5</v>
      </c>
      <c r="B9" s="42" t="s">
        <v>287</v>
      </c>
      <c r="C9" s="30">
        <v>2285</v>
      </c>
      <c r="D9" s="30">
        <v>1971</v>
      </c>
      <c r="E9" s="42" t="s">
        <v>288</v>
      </c>
      <c r="F9" s="42" t="s">
        <v>289</v>
      </c>
      <c r="G9" s="30">
        <v>3</v>
      </c>
      <c r="H9" s="42" t="s">
        <v>6</v>
      </c>
    </row>
    <row r="10" spans="1:8" ht="21.75" customHeight="1">
      <c r="A10" s="33">
        <v>6</v>
      </c>
      <c r="B10" s="40" t="s">
        <v>290</v>
      </c>
      <c r="C10" s="33">
        <v>2237</v>
      </c>
      <c r="D10" s="33">
        <v>238</v>
      </c>
      <c r="E10" s="40" t="s">
        <v>291</v>
      </c>
      <c r="F10" s="40" t="s">
        <v>292</v>
      </c>
      <c r="G10" s="33">
        <v>0</v>
      </c>
      <c r="H10" s="40" t="s">
        <v>293</v>
      </c>
    </row>
    <row r="11" spans="1:8" ht="21.75" customHeight="1">
      <c r="A11" s="30">
        <v>7</v>
      </c>
      <c r="B11" s="42" t="s">
        <v>294</v>
      </c>
      <c r="C11" s="30">
        <v>1544</v>
      </c>
      <c r="D11" s="30">
        <v>11</v>
      </c>
      <c r="E11" s="42" t="s">
        <v>295</v>
      </c>
      <c r="F11" s="42" t="s">
        <v>296</v>
      </c>
      <c r="G11" s="30">
        <v>0</v>
      </c>
      <c r="H11" s="42" t="s">
        <v>293</v>
      </c>
    </row>
    <row r="12" spans="1:8" ht="21.75" customHeight="1">
      <c r="A12" s="33">
        <v>8</v>
      </c>
      <c r="B12" s="40" t="s">
        <v>297</v>
      </c>
      <c r="C12" s="33">
        <v>1536</v>
      </c>
      <c r="D12" s="33">
        <v>319</v>
      </c>
      <c r="E12" s="40" t="s">
        <v>298</v>
      </c>
      <c r="F12" s="40" t="s">
        <v>299</v>
      </c>
      <c r="G12" s="33">
        <v>0</v>
      </c>
      <c r="H12" s="40" t="s">
        <v>293</v>
      </c>
    </row>
    <row r="13" spans="1:8" ht="21.75" customHeight="1">
      <c r="A13" s="30">
        <v>9</v>
      </c>
      <c r="B13" s="42" t="s">
        <v>300</v>
      </c>
      <c r="C13" s="30">
        <v>1519</v>
      </c>
      <c r="D13" s="30">
        <v>951</v>
      </c>
      <c r="E13" s="42" t="s">
        <v>301</v>
      </c>
      <c r="F13" s="42" t="s">
        <v>302</v>
      </c>
      <c r="G13" s="30">
        <v>0</v>
      </c>
      <c r="H13" s="42" t="s">
        <v>293</v>
      </c>
    </row>
    <row r="14" spans="1:8" ht="21.75" customHeight="1">
      <c r="A14" s="33">
        <v>10</v>
      </c>
      <c r="B14" s="40" t="s">
        <v>303</v>
      </c>
      <c r="C14" s="33">
        <v>1174</v>
      </c>
      <c r="D14" s="33">
        <v>1018</v>
      </c>
      <c r="E14" s="40" t="s">
        <v>304</v>
      </c>
      <c r="F14" s="40" t="s">
        <v>305</v>
      </c>
      <c r="G14" s="33">
        <v>0</v>
      </c>
      <c r="H14" s="40" t="s">
        <v>293</v>
      </c>
    </row>
    <row r="15" spans="1:8" ht="21.75" customHeight="1">
      <c r="A15" s="30">
        <v>11</v>
      </c>
      <c r="B15" s="42" t="s">
        <v>306</v>
      </c>
      <c r="C15" s="30">
        <v>1029</v>
      </c>
      <c r="D15" s="30">
        <v>23</v>
      </c>
      <c r="E15" s="42" t="s">
        <v>307</v>
      </c>
      <c r="F15" s="42" t="s">
        <v>308</v>
      </c>
      <c r="G15" s="30">
        <v>0</v>
      </c>
      <c r="H15" s="42" t="s">
        <v>293</v>
      </c>
    </row>
    <row r="16" spans="1:8" ht="21.75" customHeight="1">
      <c r="A16" s="33">
        <v>12</v>
      </c>
      <c r="B16" s="40" t="s">
        <v>309</v>
      </c>
      <c r="C16" s="33">
        <v>905</v>
      </c>
      <c r="D16" s="33">
        <v>473</v>
      </c>
      <c r="E16" s="40" t="s">
        <v>310</v>
      </c>
      <c r="F16" s="40" t="s">
        <v>311</v>
      </c>
      <c r="G16" s="33">
        <v>5</v>
      </c>
      <c r="H16" s="40" t="s">
        <v>312</v>
      </c>
    </row>
    <row r="17" spans="1:8" ht="21.75" customHeight="1">
      <c r="A17" s="30">
        <v>13</v>
      </c>
      <c r="B17" s="42" t="s">
        <v>313</v>
      </c>
      <c r="C17" s="30">
        <v>717</v>
      </c>
      <c r="D17" s="30">
        <v>93</v>
      </c>
      <c r="E17" s="42" t="s">
        <v>314</v>
      </c>
      <c r="F17" s="42" t="s">
        <v>315</v>
      </c>
      <c r="G17" s="30">
        <v>0</v>
      </c>
      <c r="H17" s="42" t="s">
        <v>293</v>
      </c>
    </row>
    <row r="18" spans="1:8" ht="21.75" customHeight="1">
      <c r="A18" s="33">
        <v>14</v>
      </c>
      <c r="B18" s="40" t="s">
        <v>316</v>
      </c>
      <c r="C18" s="33">
        <v>702</v>
      </c>
      <c r="D18" s="33">
        <v>596</v>
      </c>
      <c r="E18" s="40" t="s">
        <v>317</v>
      </c>
      <c r="F18" s="40" t="s">
        <v>318</v>
      </c>
      <c r="G18" s="33">
        <v>0</v>
      </c>
      <c r="H18" s="40" t="s">
        <v>293</v>
      </c>
    </row>
    <row r="19" spans="1:8" ht="21.75" customHeight="1">
      <c r="A19" s="30">
        <v>15</v>
      </c>
      <c r="B19" s="42" t="s">
        <v>319</v>
      </c>
      <c r="C19" s="30">
        <v>621</v>
      </c>
      <c r="D19" s="30">
        <v>499</v>
      </c>
      <c r="E19" s="42" t="s">
        <v>320</v>
      </c>
      <c r="F19" s="42" t="s">
        <v>321</v>
      </c>
      <c r="G19" s="30">
        <v>0</v>
      </c>
      <c r="H19" s="42" t="s">
        <v>293</v>
      </c>
    </row>
    <row r="20" spans="1:8" ht="21.75" customHeight="1">
      <c r="A20" s="33">
        <v>16</v>
      </c>
      <c r="B20" s="40" t="s">
        <v>322</v>
      </c>
      <c r="C20" s="33">
        <v>568</v>
      </c>
      <c r="D20" s="33">
        <v>472</v>
      </c>
      <c r="E20" s="40" t="s">
        <v>320</v>
      </c>
      <c r="F20" s="40" t="s">
        <v>323</v>
      </c>
      <c r="G20" s="33">
        <v>2</v>
      </c>
      <c r="H20" s="40" t="s">
        <v>324</v>
      </c>
    </row>
    <row r="21" spans="1:8" ht="21.75" customHeight="1">
      <c r="A21" s="30">
        <v>17</v>
      </c>
      <c r="B21" s="42" t="s">
        <v>325</v>
      </c>
      <c r="C21" s="30">
        <v>552</v>
      </c>
      <c r="D21" s="30">
        <v>307</v>
      </c>
      <c r="E21" s="42" t="s">
        <v>326</v>
      </c>
      <c r="F21" s="42" t="s">
        <v>327</v>
      </c>
      <c r="G21" s="30">
        <v>0</v>
      </c>
      <c r="H21" s="42" t="s">
        <v>293</v>
      </c>
    </row>
    <row r="22" spans="1:8" ht="21.75" customHeight="1">
      <c r="A22" s="33">
        <v>18</v>
      </c>
      <c r="B22" s="40" t="s">
        <v>328</v>
      </c>
      <c r="C22" s="33">
        <v>542</v>
      </c>
      <c r="D22" s="33">
        <v>377</v>
      </c>
      <c r="E22" s="40" t="s">
        <v>329</v>
      </c>
      <c r="F22" s="40" t="s">
        <v>330</v>
      </c>
      <c r="G22" s="33">
        <v>0</v>
      </c>
      <c r="H22" s="40" t="s">
        <v>293</v>
      </c>
    </row>
    <row r="23" spans="1:8" ht="21.75" customHeight="1">
      <c r="A23" s="30">
        <v>19</v>
      </c>
      <c r="B23" s="42" t="s">
        <v>331</v>
      </c>
      <c r="C23" s="30">
        <v>507</v>
      </c>
      <c r="D23" s="30">
        <v>507</v>
      </c>
      <c r="E23" s="42" t="s">
        <v>332</v>
      </c>
      <c r="F23" s="42" t="s">
        <v>333</v>
      </c>
      <c r="G23" s="30">
        <v>0</v>
      </c>
      <c r="H23" s="42" t="s">
        <v>293</v>
      </c>
    </row>
    <row r="24" spans="1:8" ht="21.75" customHeight="1">
      <c r="A24" s="33">
        <v>20</v>
      </c>
      <c r="B24" s="40" t="s">
        <v>334</v>
      </c>
      <c r="C24" s="33">
        <v>497</v>
      </c>
      <c r="D24" s="33">
        <v>345</v>
      </c>
      <c r="E24" s="40" t="s">
        <v>335</v>
      </c>
      <c r="F24" s="40" t="s">
        <v>336</v>
      </c>
      <c r="G24" s="33">
        <v>2</v>
      </c>
      <c r="H24" s="40" t="s">
        <v>337</v>
      </c>
    </row>
    <row r="25" spans="1:8" ht="21.75" customHeight="1">
      <c r="A25" s="30">
        <v>21</v>
      </c>
      <c r="B25" s="42" t="s">
        <v>338</v>
      </c>
      <c r="C25" s="30">
        <v>458</v>
      </c>
      <c r="D25" s="30">
        <v>103</v>
      </c>
      <c r="E25" s="42" t="s">
        <v>339</v>
      </c>
      <c r="F25" s="42" t="s">
        <v>340</v>
      </c>
      <c r="G25" s="30">
        <v>0</v>
      </c>
      <c r="H25" s="42" t="s">
        <v>293</v>
      </c>
    </row>
    <row r="26" spans="1:8" ht="21.75" customHeight="1">
      <c r="A26" s="33">
        <v>22</v>
      </c>
      <c r="B26" s="40" t="s">
        <v>341</v>
      </c>
      <c r="C26" s="33">
        <v>428</v>
      </c>
      <c r="D26" s="33">
        <v>217</v>
      </c>
      <c r="E26" s="40" t="s">
        <v>342</v>
      </c>
      <c r="F26" s="40" t="s">
        <v>311</v>
      </c>
      <c r="G26" s="33">
        <v>0</v>
      </c>
      <c r="H26" s="40" t="s">
        <v>293</v>
      </c>
    </row>
    <row r="27" spans="1:8" ht="21.75" customHeight="1">
      <c r="A27" s="30">
        <v>23</v>
      </c>
      <c r="B27" s="42" t="s">
        <v>343</v>
      </c>
      <c r="C27" s="30">
        <v>415</v>
      </c>
      <c r="D27" s="30">
        <v>238</v>
      </c>
      <c r="E27" s="42" t="s">
        <v>344</v>
      </c>
      <c r="F27" s="42" t="s">
        <v>345</v>
      </c>
      <c r="G27" s="30">
        <v>0</v>
      </c>
      <c r="H27" s="42" t="s">
        <v>293</v>
      </c>
    </row>
    <row r="28" spans="1:8" ht="21.75" customHeight="1">
      <c r="A28" s="33">
        <v>24</v>
      </c>
      <c r="B28" s="40" t="s">
        <v>346</v>
      </c>
      <c r="C28" s="33">
        <v>376</v>
      </c>
      <c r="D28" s="33">
        <v>186</v>
      </c>
      <c r="E28" s="40" t="s">
        <v>347</v>
      </c>
      <c r="F28" s="40" t="s">
        <v>348</v>
      </c>
      <c r="G28" s="33">
        <v>0</v>
      </c>
      <c r="H28" s="40" t="s">
        <v>293</v>
      </c>
    </row>
    <row r="29" spans="1:8" ht="21.75" customHeight="1">
      <c r="A29" s="30">
        <v>25</v>
      </c>
      <c r="B29" s="42" t="s">
        <v>349</v>
      </c>
      <c r="C29" s="30">
        <v>366</v>
      </c>
      <c r="D29" s="30">
        <v>348</v>
      </c>
      <c r="E29" s="42" t="s">
        <v>350</v>
      </c>
      <c r="F29" s="42" t="s">
        <v>351</v>
      </c>
      <c r="G29" s="30">
        <v>0</v>
      </c>
      <c r="H29" s="42" t="s">
        <v>293</v>
      </c>
    </row>
    <row r="30" spans="1:8" ht="21.75" customHeight="1">
      <c r="A30" s="33">
        <v>26</v>
      </c>
      <c r="B30" s="40" t="s">
        <v>352</v>
      </c>
      <c r="C30" s="33">
        <v>493</v>
      </c>
      <c r="D30" s="33">
        <v>473</v>
      </c>
      <c r="E30" s="40" t="s">
        <v>56</v>
      </c>
      <c r="F30" s="40" t="s">
        <v>56</v>
      </c>
      <c r="G30" s="33">
        <v>0</v>
      </c>
      <c r="H30" s="40" t="s">
        <v>293</v>
      </c>
    </row>
    <row r="31" spans="1:8" ht="21.75" customHeight="1">
      <c r="A31" s="30">
        <v>27</v>
      </c>
      <c r="B31" s="42" t="s">
        <v>353</v>
      </c>
      <c r="C31" s="30">
        <v>292</v>
      </c>
      <c r="D31" s="30">
        <v>273</v>
      </c>
      <c r="E31" s="42" t="s">
        <v>56</v>
      </c>
      <c r="F31" s="42" t="s">
        <v>56</v>
      </c>
      <c r="G31" s="30">
        <v>0</v>
      </c>
      <c r="H31" s="42" t="s">
        <v>293</v>
      </c>
    </row>
    <row r="32" spans="1:8" ht="21.75" customHeight="1">
      <c r="A32" s="33">
        <v>28</v>
      </c>
      <c r="B32" s="40" t="s">
        <v>354</v>
      </c>
      <c r="C32" s="33">
        <v>270</v>
      </c>
      <c r="D32" s="33">
        <v>229</v>
      </c>
      <c r="E32" s="40" t="s">
        <v>56</v>
      </c>
      <c r="F32" s="40" t="s">
        <v>56</v>
      </c>
      <c r="G32" s="33">
        <v>0</v>
      </c>
      <c r="H32" s="40" t="s">
        <v>293</v>
      </c>
    </row>
    <row r="33" spans="1:8" ht="21.75" customHeight="1">
      <c r="A33" s="30">
        <v>29</v>
      </c>
      <c r="B33" s="42" t="s">
        <v>355</v>
      </c>
      <c r="C33" s="30">
        <v>196</v>
      </c>
      <c r="D33" s="30">
        <v>158</v>
      </c>
      <c r="E33" s="42" t="s">
        <v>56</v>
      </c>
      <c r="F33" s="42" t="s">
        <v>56</v>
      </c>
      <c r="G33" s="30">
        <v>0</v>
      </c>
      <c r="H33" s="42" t="s">
        <v>293</v>
      </c>
    </row>
    <row r="34" spans="1:8" ht="21.75" customHeight="1">
      <c r="A34" s="33">
        <v>30</v>
      </c>
      <c r="B34" s="40" t="s">
        <v>356</v>
      </c>
      <c r="C34" s="33">
        <v>204</v>
      </c>
      <c r="D34" s="33">
        <v>177</v>
      </c>
      <c r="E34" s="40" t="s">
        <v>56</v>
      </c>
      <c r="F34" s="40" t="s">
        <v>56</v>
      </c>
      <c r="G34" s="33">
        <v>0</v>
      </c>
      <c r="H34" s="40" t="s">
        <v>293</v>
      </c>
    </row>
  </sheetData>
  <mergeCells count="2">
    <mergeCell ref="A1:H1"/>
    <mergeCell ref="A3:H3"/>
  </mergeCells>
  <phoneticPr fontId="42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showGridLines="0" zoomScaleNormal="100" workbookViewId="0">
      <selection sqref="A1:G1"/>
    </sheetView>
  </sheetViews>
  <sheetFormatPr defaultColWidth="8.7109375" defaultRowHeight="15"/>
  <cols>
    <col min="1" max="1" width="3" customWidth="1"/>
    <col min="2" max="2" width="38" customWidth="1"/>
    <col min="3" max="4" width="10" customWidth="1"/>
    <col min="5" max="6" width="12" customWidth="1"/>
    <col min="7" max="7" width="10" customWidth="1"/>
  </cols>
  <sheetData>
    <row r="1" spans="1:7" ht="27.75" customHeight="1">
      <c r="A1" s="6" t="s">
        <v>357</v>
      </c>
      <c r="B1" s="6"/>
      <c r="C1" s="6"/>
      <c r="D1" s="6"/>
      <c r="E1" s="6"/>
      <c r="F1" s="6"/>
      <c r="G1" s="6"/>
    </row>
    <row r="2" spans="1:7" ht="7.5" customHeight="1">
      <c r="A2" s="25"/>
      <c r="B2" s="25"/>
      <c r="C2" s="25"/>
      <c r="D2" s="25"/>
      <c r="E2" s="25"/>
      <c r="F2" s="25"/>
      <c r="G2" s="25"/>
    </row>
    <row r="3" spans="1:7" ht="21.75" customHeight="1">
      <c r="A3" s="111" t="s">
        <v>358</v>
      </c>
      <c r="B3" s="111"/>
      <c r="C3" s="111"/>
      <c r="D3" s="111"/>
      <c r="E3" s="111"/>
      <c r="F3" s="111"/>
      <c r="G3" s="111"/>
    </row>
    <row r="4" spans="1:7" ht="27.75" customHeight="1">
      <c r="A4" s="50" t="s">
        <v>267</v>
      </c>
      <c r="B4" s="28" t="s">
        <v>359</v>
      </c>
      <c r="C4" s="28" t="s">
        <v>255</v>
      </c>
      <c r="D4" s="50" t="s">
        <v>97</v>
      </c>
      <c r="E4" s="28" t="s">
        <v>269</v>
      </c>
      <c r="F4" s="28" t="s">
        <v>270</v>
      </c>
      <c r="G4" s="50" t="s">
        <v>99</v>
      </c>
    </row>
    <row r="5" spans="1:7" ht="21.75" customHeight="1">
      <c r="A5" s="30">
        <v>1</v>
      </c>
      <c r="B5" s="37" t="s">
        <v>360</v>
      </c>
      <c r="C5" s="30">
        <v>128412</v>
      </c>
      <c r="D5" s="42" t="s">
        <v>361</v>
      </c>
      <c r="E5" s="42" t="s">
        <v>362</v>
      </c>
      <c r="F5" s="30">
        <v>498</v>
      </c>
      <c r="G5" s="42" t="s">
        <v>363</v>
      </c>
    </row>
    <row r="6" spans="1:7" ht="21.75" customHeight="1">
      <c r="A6" s="33">
        <v>2</v>
      </c>
      <c r="B6" s="40" t="s">
        <v>364</v>
      </c>
      <c r="C6" s="33">
        <v>103217</v>
      </c>
      <c r="D6" s="40" t="s">
        <v>365</v>
      </c>
      <c r="E6" s="40" t="s">
        <v>366</v>
      </c>
      <c r="F6" s="33">
        <v>155</v>
      </c>
      <c r="G6" s="40" t="s">
        <v>367</v>
      </c>
    </row>
    <row r="7" spans="1:7" ht="21.75" customHeight="1">
      <c r="A7" s="30">
        <v>3</v>
      </c>
      <c r="B7" s="42" t="s">
        <v>368</v>
      </c>
      <c r="C7" s="30">
        <v>79137</v>
      </c>
      <c r="D7" s="42" t="s">
        <v>369</v>
      </c>
      <c r="E7" s="42" t="s">
        <v>370</v>
      </c>
      <c r="F7" s="30">
        <v>0</v>
      </c>
      <c r="G7" s="42" t="s">
        <v>293</v>
      </c>
    </row>
    <row r="8" spans="1:7" ht="21.75" customHeight="1">
      <c r="A8" s="33">
        <v>4</v>
      </c>
      <c r="B8" s="40" t="s">
        <v>371</v>
      </c>
      <c r="C8" s="33">
        <v>19574</v>
      </c>
      <c r="D8" s="40" t="s">
        <v>372</v>
      </c>
      <c r="E8" s="40" t="s">
        <v>373</v>
      </c>
      <c r="F8" s="33">
        <v>13</v>
      </c>
      <c r="G8" s="40" t="s">
        <v>374</v>
      </c>
    </row>
    <row r="9" spans="1:7" ht="21.75" customHeight="1">
      <c r="A9" s="30">
        <v>5</v>
      </c>
      <c r="B9" s="42" t="s">
        <v>375</v>
      </c>
      <c r="C9" s="30">
        <v>14576</v>
      </c>
      <c r="D9" s="42" t="s">
        <v>376</v>
      </c>
      <c r="E9" s="42" t="s">
        <v>377</v>
      </c>
      <c r="F9" s="30">
        <v>8</v>
      </c>
      <c r="G9" s="42" t="s">
        <v>378</v>
      </c>
    </row>
    <row r="10" spans="1:7" ht="21.75" customHeight="1">
      <c r="A10" s="33">
        <v>6</v>
      </c>
      <c r="B10" s="40" t="s">
        <v>379</v>
      </c>
      <c r="C10" s="33">
        <v>13457</v>
      </c>
      <c r="D10" s="40" t="s">
        <v>380</v>
      </c>
      <c r="E10" s="40" t="s">
        <v>381</v>
      </c>
      <c r="F10" s="33">
        <v>4</v>
      </c>
      <c r="G10" s="40" t="s">
        <v>382</v>
      </c>
    </row>
    <row r="11" spans="1:7" ht="21.75" customHeight="1">
      <c r="A11" s="30">
        <v>7</v>
      </c>
      <c r="B11" s="42" t="s">
        <v>383</v>
      </c>
      <c r="C11" s="30">
        <v>11657</v>
      </c>
      <c r="D11" s="42" t="s">
        <v>384</v>
      </c>
      <c r="E11" s="42" t="s">
        <v>381</v>
      </c>
      <c r="F11" s="30">
        <v>39</v>
      </c>
      <c r="G11" s="42" t="s">
        <v>385</v>
      </c>
    </row>
    <row r="12" spans="1:7" ht="21.75" customHeight="1">
      <c r="A12" s="33">
        <v>8</v>
      </c>
      <c r="B12" s="40" t="s">
        <v>386</v>
      </c>
      <c r="C12" s="33">
        <v>11249</v>
      </c>
      <c r="D12" s="40" t="s">
        <v>387</v>
      </c>
      <c r="E12" s="40" t="s">
        <v>388</v>
      </c>
      <c r="F12" s="33">
        <v>2</v>
      </c>
      <c r="G12" s="40" t="s">
        <v>389</v>
      </c>
    </row>
    <row r="13" spans="1:7" ht="21.75" customHeight="1">
      <c r="A13" s="30">
        <v>9</v>
      </c>
      <c r="B13" s="42" t="s">
        <v>390</v>
      </c>
      <c r="C13" s="30">
        <v>11109</v>
      </c>
      <c r="D13" s="42" t="s">
        <v>391</v>
      </c>
      <c r="E13" s="42" t="s">
        <v>392</v>
      </c>
      <c r="F13" s="30">
        <v>0</v>
      </c>
      <c r="G13" s="42" t="s">
        <v>293</v>
      </c>
    </row>
    <row r="14" spans="1:7" ht="21.75" customHeight="1">
      <c r="A14" s="33">
        <v>10</v>
      </c>
      <c r="B14" s="40" t="s">
        <v>393</v>
      </c>
      <c r="C14" s="33">
        <v>8046</v>
      </c>
      <c r="D14" s="40" t="s">
        <v>394</v>
      </c>
      <c r="E14" s="40" t="s">
        <v>395</v>
      </c>
      <c r="F14" s="33">
        <v>21</v>
      </c>
      <c r="G14" s="40" t="s">
        <v>396</v>
      </c>
    </row>
    <row r="15" spans="1:7" ht="21.75" customHeight="1">
      <c r="A15" s="30">
        <v>11</v>
      </c>
      <c r="B15" s="42" t="s">
        <v>397</v>
      </c>
      <c r="C15" s="30">
        <v>7831</v>
      </c>
      <c r="D15" s="42" t="s">
        <v>398</v>
      </c>
      <c r="E15" s="42" t="s">
        <v>399</v>
      </c>
      <c r="F15" s="30">
        <v>14</v>
      </c>
      <c r="G15" s="42" t="s">
        <v>400</v>
      </c>
    </row>
    <row r="16" spans="1:7" ht="21.75" customHeight="1">
      <c r="A16" s="33">
        <v>12</v>
      </c>
      <c r="B16" s="40" t="s">
        <v>401</v>
      </c>
      <c r="C16" s="33">
        <v>7679</v>
      </c>
      <c r="D16" s="40" t="s">
        <v>402</v>
      </c>
      <c r="E16" s="40" t="s">
        <v>392</v>
      </c>
      <c r="F16" s="33">
        <v>1</v>
      </c>
      <c r="G16" s="40" t="s">
        <v>274</v>
      </c>
    </row>
    <row r="17" spans="1:7" ht="21.75" customHeight="1">
      <c r="A17" s="30">
        <v>13</v>
      </c>
      <c r="B17" s="42" t="s">
        <v>403</v>
      </c>
      <c r="C17" s="30">
        <v>7644</v>
      </c>
      <c r="D17" s="42" t="s">
        <v>404</v>
      </c>
      <c r="E17" s="42" t="s">
        <v>405</v>
      </c>
      <c r="F17" s="30">
        <v>32</v>
      </c>
      <c r="G17" s="42" t="s">
        <v>406</v>
      </c>
    </row>
    <row r="18" spans="1:7" ht="21.75" customHeight="1">
      <c r="A18" s="33">
        <v>14</v>
      </c>
      <c r="B18" s="40" t="s">
        <v>407</v>
      </c>
      <c r="C18" s="33">
        <v>7186</v>
      </c>
      <c r="D18" s="40" t="s">
        <v>408</v>
      </c>
      <c r="E18" s="40" t="s">
        <v>409</v>
      </c>
      <c r="F18" s="33">
        <v>34</v>
      </c>
      <c r="G18" s="40" t="s">
        <v>410</v>
      </c>
    </row>
    <row r="19" spans="1:7" ht="21.75" customHeight="1">
      <c r="A19" s="30">
        <v>15</v>
      </c>
      <c r="B19" s="42" t="s">
        <v>411</v>
      </c>
      <c r="C19" s="30">
        <v>5847</v>
      </c>
      <c r="D19" s="42" t="s">
        <v>412</v>
      </c>
      <c r="E19" s="42" t="s">
        <v>413</v>
      </c>
      <c r="F19" s="30">
        <v>5</v>
      </c>
      <c r="G19" s="42" t="s">
        <v>414</v>
      </c>
    </row>
    <row r="20" spans="1:7" ht="21.75" customHeight="1">
      <c r="A20" s="33">
        <v>16</v>
      </c>
      <c r="B20" s="40" t="s">
        <v>415</v>
      </c>
      <c r="C20" s="33">
        <v>5221</v>
      </c>
      <c r="D20" s="40" t="s">
        <v>416</v>
      </c>
      <c r="E20" s="40" t="s">
        <v>417</v>
      </c>
      <c r="F20" s="33">
        <v>7</v>
      </c>
      <c r="G20" s="40" t="s">
        <v>6</v>
      </c>
    </row>
    <row r="21" spans="1:7" ht="21.75" customHeight="1">
      <c r="A21" s="30">
        <v>17</v>
      </c>
      <c r="B21" s="42" t="s">
        <v>418</v>
      </c>
      <c r="C21" s="30">
        <v>4568</v>
      </c>
      <c r="D21" s="42" t="s">
        <v>419</v>
      </c>
      <c r="E21" s="42" t="s">
        <v>420</v>
      </c>
      <c r="F21" s="30">
        <v>11</v>
      </c>
      <c r="G21" s="42" t="s">
        <v>421</v>
      </c>
    </row>
    <row r="22" spans="1:7" ht="21.75" customHeight="1">
      <c r="A22" s="33">
        <v>18</v>
      </c>
      <c r="B22" s="40" t="s">
        <v>422</v>
      </c>
      <c r="C22" s="33">
        <v>4387</v>
      </c>
      <c r="D22" s="40" t="s">
        <v>423</v>
      </c>
      <c r="E22" s="40" t="s">
        <v>424</v>
      </c>
      <c r="F22" s="33">
        <v>3</v>
      </c>
      <c r="G22" s="40" t="s">
        <v>374</v>
      </c>
    </row>
    <row r="23" spans="1:7" ht="21.75" customHeight="1">
      <c r="A23" s="30">
        <v>19</v>
      </c>
      <c r="B23" s="42" t="s">
        <v>425</v>
      </c>
      <c r="C23" s="30">
        <v>800</v>
      </c>
      <c r="D23" s="42" t="s">
        <v>426</v>
      </c>
      <c r="E23" s="42" t="s">
        <v>427</v>
      </c>
      <c r="F23" s="30">
        <v>50</v>
      </c>
      <c r="G23" s="42" t="s">
        <v>428</v>
      </c>
    </row>
    <row r="24" spans="1:7" ht="21.75" customHeight="1">
      <c r="A24" s="33">
        <v>20</v>
      </c>
      <c r="B24" s="40" t="s">
        <v>429</v>
      </c>
      <c r="C24" s="33">
        <v>1200</v>
      </c>
      <c r="D24" s="40" t="s">
        <v>430</v>
      </c>
      <c r="E24" s="40" t="s">
        <v>431</v>
      </c>
      <c r="F24" s="33">
        <v>100</v>
      </c>
      <c r="G24" s="40" t="s">
        <v>432</v>
      </c>
    </row>
  </sheetData>
  <mergeCells count="2">
    <mergeCell ref="A1:G1"/>
    <mergeCell ref="A3:G3"/>
  </mergeCells>
  <phoneticPr fontId="42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4"/>
  <sheetViews>
    <sheetView showGridLines="0" zoomScaleNormal="100" workbookViewId="0">
      <selection sqref="A1:E1"/>
    </sheetView>
  </sheetViews>
  <sheetFormatPr defaultColWidth="8.7109375" defaultRowHeight="15"/>
  <cols>
    <col min="1" max="1" width="3" customWidth="1"/>
    <col min="2" max="2" width="38" customWidth="1"/>
    <col min="3" max="3" width="12" customWidth="1"/>
    <col min="4" max="4" width="10" customWidth="1"/>
    <col min="5" max="5" width="12" customWidth="1"/>
  </cols>
  <sheetData>
    <row r="1" spans="1:5" ht="27.75" customHeight="1">
      <c r="A1" s="6" t="s">
        <v>433</v>
      </c>
      <c r="B1" s="6"/>
      <c r="C1" s="6"/>
      <c r="D1" s="6"/>
      <c r="E1" s="6"/>
    </row>
    <row r="2" spans="1:5" ht="7.5" customHeight="1">
      <c r="A2" s="25"/>
      <c r="B2" s="25"/>
      <c r="C2" s="25"/>
      <c r="D2" s="25"/>
      <c r="E2" s="25"/>
    </row>
    <row r="3" spans="1:5" ht="21.75" customHeight="1">
      <c r="A3" s="5" t="s">
        <v>434</v>
      </c>
      <c r="B3" s="5"/>
      <c r="C3" s="5"/>
      <c r="D3" s="5"/>
      <c r="E3" s="5"/>
    </row>
    <row r="4" spans="1:5" ht="27.75" customHeight="1">
      <c r="A4" s="50" t="s">
        <v>267</v>
      </c>
      <c r="B4" s="28" t="s">
        <v>435</v>
      </c>
      <c r="C4" s="50" t="s">
        <v>95</v>
      </c>
      <c r="D4" s="50" t="s">
        <v>97</v>
      </c>
      <c r="E4" s="28" t="s">
        <v>269</v>
      </c>
    </row>
    <row r="5" spans="1:5" ht="21.75" customHeight="1">
      <c r="A5" s="30">
        <v>1</v>
      </c>
      <c r="B5" s="42" t="s">
        <v>436</v>
      </c>
      <c r="C5" s="30">
        <v>146252</v>
      </c>
      <c r="D5" s="42" t="s">
        <v>437</v>
      </c>
      <c r="E5" s="42" t="s">
        <v>438</v>
      </c>
    </row>
    <row r="6" spans="1:5" ht="21.75" customHeight="1">
      <c r="A6" s="33">
        <v>2</v>
      </c>
      <c r="B6" s="40" t="s">
        <v>364</v>
      </c>
      <c r="C6" s="33">
        <v>86461</v>
      </c>
      <c r="D6" s="40" t="s">
        <v>439</v>
      </c>
      <c r="E6" s="40" t="s">
        <v>440</v>
      </c>
    </row>
    <row r="7" spans="1:5" ht="21.75" customHeight="1">
      <c r="A7" s="30">
        <v>3</v>
      </c>
      <c r="B7" s="42" t="s">
        <v>375</v>
      </c>
      <c r="C7" s="30">
        <v>79209</v>
      </c>
      <c r="D7" s="42" t="s">
        <v>441</v>
      </c>
      <c r="E7" s="42" t="s">
        <v>442</v>
      </c>
    </row>
    <row r="8" spans="1:5" ht="21.75" customHeight="1">
      <c r="A8" s="33">
        <v>4</v>
      </c>
      <c r="B8" s="40" t="s">
        <v>443</v>
      </c>
      <c r="C8" s="33">
        <v>33844</v>
      </c>
      <c r="D8" s="40" t="s">
        <v>444</v>
      </c>
      <c r="E8" s="40" t="s">
        <v>445</v>
      </c>
    </row>
    <row r="9" spans="1:5" ht="21.75" customHeight="1">
      <c r="A9" s="30">
        <v>5</v>
      </c>
      <c r="B9" s="42" t="s">
        <v>446</v>
      </c>
      <c r="C9" s="30">
        <v>27665</v>
      </c>
      <c r="D9" s="42" t="s">
        <v>447</v>
      </c>
      <c r="E9" s="42" t="s">
        <v>448</v>
      </c>
    </row>
    <row r="10" spans="1:5" ht="21.75" customHeight="1">
      <c r="A10" s="33">
        <v>6</v>
      </c>
      <c r="B10" s="40" t="s">
        <v>383</v>
      </c>
      <c r="C10" s="33">
        <v>27195</v>
      </c>
      <c r="D10" s="40" t="s">
        <v>449</v>
      </c>
      <c r="E10" s="40" t="s">
        <v>450</v>
      </c>
    </row>
    <row r="11" spans="1:5" ht="21.75" customHeight="1">
      <c r="A11" s="30">
        <v>7</v>
      </c>
      <c r="B11" s="42" t="s">
        <v>451</v>
      </c>
      <c r="C11" s="30">
        <v>24111</v>
      </c>
      <c r="D11" s="42" t="s">
        <v>452</v>
      </c>
      <c r="E11" s="42" t="s">
        <v>453</v>
      </c>
    </row>
    <row r="12" spans="1:5" ht="21.75" customHeight="1">
      <c r="A12" s="33">
        <v>8</v>
      </c>
      <c r="B12" s="40" t="s">
        <v>418</v>
      </c>
      <c r="C12" s="33">
        <v>20338</v>
      </c>
      <c r="D12" s="40" t="s">
        <v>454</v>
      </c>
      <c r="E12" s="40" t="s">
        <v>351</v>
      </c>
    </row>
    <row r="13" spans="1:5" ht="21.75" customHeight="1">
      <c r="A13" s="30">
        <v>9</v>
      </c>
      <c r="B13" s="42" t="s">
        <v>455</v>
      </c>
      <c r="C13" s="30">
        <v>19178</v>
      </c>
      <c r="D13" s="42" t="s">
        <v>456</v>
      </c>
      <c r="E13" s="42" t="s">
        <v>457</v>
      </c>
    </row>
    <row r="14" spans="1:5" ht="21.75" customHeight="1">
      <c r="A14" s="33">
        <v>10</v>
      </c>
      <c r="B14" s="40" t="s">
        <v>458</v>
      </c>
      <c r="C14" s="33">
        <v>18896</v>
      </c>
      <c r="D14" s="40" t="s">
        <v>459</v>
      </c>
      <c r="E14" s="40" t="s">
        <v>460</v>
      </c>
    </row>
    <row r="15" spans="1:5" ht="21.75" customHeight="1">
      <c r="A15" s="30">
        <v>11</v>
      </c>
      <c r="B15" s="42" t="s">
        <v>390</v>
      </c>
      <c r="C15" s="30">
        <v>18823</v>
      </c>
      <c r="D15" s="42" t="s">
        <v>461</v>
      </c>
      <c r="E15" s="42" t="s">
        <v>462</v>
      </c>
    </row>
    <row r="16" spans="1:5" ht="21.75" customHeight="1">
      <c r="A16" s="33">
        <v>12</v>
      </c>
      <c r="B16" s="40" t="s">
        <v>463</v>
      </c>
      <c r="C16" s="33">
        <v>15770</v>
      </c>
      <c r="D16" s="40" t="s">
        <v>464</v>
      </c>
      <c r="E16" s="40" t="s">
        <v>442</v>
      </c>
    </row>
    <row r="17" spans="1:5" ht="21.75" customHeight="1">
      <c r="A17" s="30">
        <v>13</v>
      </c>
      <c r="B17" s="42" t="s">
        <v>465</v>
      </c>
      <c r="C17" s="30">
        <v>14874</v>
      </c>
      <c r="D17" s="42" t="s">
        <v>466</v>
      </c>
      <c r="E17" s="42" t="s">
        <v>467</v>
      </c>
    </row>
    <row r="18" spans="1:5" ht="21.75" customHeight="1">
      <c r="A18" s="33">
        <v>14</v>
      </c>
      <c r="B18" s="40" t="s">
        <v>468</v>
      </c>
      <c r="C18" s="33">
        <v>13934</v>
      </c>
      <c r="D18" s="40" t="s">
        <v>469</v>
      </c>
      <c r="E18" s="40" t="s">
        <v>470</v>
      </c>
    </row>
    <row r="19" spans="1:5" ht="21.75" customHeight="1">
      <c r="A19" s="30">
        <v>15</v>
      </c>
      <c r="B19" s="42" t="s">
        <v>471</v>
      </c>
      <c r="C19" s="30">
        <v>12972</v>
      </c>
      <c r="D19" s="42" t="s">
        <v>472</v>
      </c>
      <c r="E19" s="42" t="s">
        <v>473</v>
      </c>
    </row>
    <row r="20" spans="1:5" ht="21.75" customHeight="1">
      <c r="A20" s="33">
        <v>16</v>
      </c>
      <c r="B20" s="40" t="s">
        <v>474</v>
      </c>
      <c r="C20" s="33">
        <v>12500</v>
      </c>
      <c r="D20" s="40" t="s">
        <v>475</v>
      </c>
      <c r="E20" s="40" t="s">
        <v>476</v>
      </c>
    </row>
    <row r="21" spans="1:5" ht="21.75" customHeight="1">
      <c r="A21" s="30">
        <v>17</v>
      </c>
      <c r="B21" s="42" t="s">
        <v>422</v>
      </c>
      <c r="C21" s="30">
        <v>11500</v>
      </c>
      <c r="D21" s="42" t="s">
        <v>477</v>
      </c>
      <c r="E21" s="42" t="s">
        <v>431</v>
      </c>
    </row>
    <row r="22" spans="1:5" ht="21.75" customHeight="1">
      <c r="A22" s="33">
        <v>18</v>
      </c>
      <c r="B22" s="40" t="s">
        <v>478</v>
      </c>
      <c r="C22" s="33">
        <v>10800</v>
      </c>
      <c r="D22" s="40" t="s">
        <v>479</v>
      </c>
      <c r="E22" s="40" t="s">
        <v>427</v>
      </c>
    </row>
    <row r="23" spans="1:5" ht="21.75" customHeight="1">
      <c r="A23" s="30">
        <v>19</v>
      </c>
      <c r="B23" s="37" t="s">
        <v>480</v>
      </c>
      <c r="C23" s="30">
        <v>8420</v>
      </c>
      <c r="D23" s="42" t="s">
        <v>469</v>
      </c>
      <c r="E23" s="42" t="s">
        <v>427</v>
      </c>
    </row>
    <row r="24" spans="1:5" ht="21.75" customHeight="1">
      <c r="A24" s="33">
        <v>20</v>
      </c>
      <c r="B24" s="40" t="s">
        <v>481</v>
      </c>
      <c r="C24" s="33">
        <v>9800</v>
      </c>
      <c r="D24" s="40" t="s">
        <v>482</v>
      </c>
      <c r="E24" s="40" t="s">
        <v>483</v>
      </c>
    </row>
  </sheetData>
  <mergeCells count="2">
    <mergeCell ref="A1:E1"/>
    <mergeCell ref="A3:E3"/>
  </mergeCells>
  <phoneticPr fontId="42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8"/>
  <sheetViews>
    <sheetView showGridLines="0" zoomScaleNormal="100" workbookViewId="0">
      <selection sqref="A1:D1"/>
    </sheetView>
  </sheetViews>
  <sheetFormatPr defaultColWidth="8.7109375" defaultRowHeight="15"/>
  <cols>
    <col min="1" max="1" width="30" customWidth="1"/>
    <col min="2" max="3" width="14" customWidth="1"/>
    <col min="4" max="4" width="4" customWidth="1"/>
  </cols>
  <sheetData>
    <row r="1" spans="1:4" ht="27.75" customHeight="1">
      <c r="A1" s="6" t="s">
        <v>484</v>
      </c>
      <c r="B1" s="6"/>
      <c r="C1" s="6"/>
      <c r="D1" s="6"/>
    </row>
    <row r="2" spans="1:4" ht="7.5" customHeight="1">
      <c r="A2" s="25"/>
      <c r="B2" s="25"/>
      <c r="C2" s="25"/>
      <c r="D2" s="25"/>
    </row>
    <row r="3" spans="1:4" ht="21.75" customHeight="1">
      <c r="A3" s="5" t="s">
        <v>485</v>
      </c>
      <c r="B3" s="5"/>
      <c r="C3" s="5"/>
      <c r="D3" s="5"/>
    </row>
    <row r="4" spans="1:4" ht="27.75" customHeight="1">
      <c r="A4" s="28" t="s">
        <v>486</v>
      </c>
      <c r="B4" s="28" t="s">
        <v>487</v>
      </c>
      <c r="C4" s="50" t="s">
        <v>95</v>
      </c>
      <c r="D4" s="28"/>
    </row>
    <row r="5" spans="1:4" ht="21.75" customHeight="1">
      <c r="A5" s="42" t="s">
        <v>488</v>
      </c>
      <c r="B5" s="30">
        <v>519</v>
      </c>
      <c r="C5" s="30">
        <v>659026</v>
      </c>
      <c r="D5" s="42"/>
    </row>
    <row r="6" spans="1:4" ht="21.75" customHeight="1">
      <c r="A6" s="40" t="s">
        <v>489</v>
      </c>
      <c r="B6" s="33">
        <v>4895</v>
      </c>
      <c r="C6" s="33">
        <v>472111</v>
      </c>
      <c r="D6" s="40"/>
    </row>
    <row r="7" spans="1:4" ht="21.75" customHeight="1">
      <c r="A7" s="42" t="s">
        <v>490</v>
      </c>
      <c r="B7" s="30">
        <v>373</v>
      </c>
      <c r="C7" s="30">
        <v>320047</v>
      </c>
      <c r="D7" s="42"/>
    </row>
    <row r="8" spans="1:4" ht="21.75" customHeight="1">
      <c r="A8" s="40" t="s">
        <v>491</v>
      </c>
      <c r="B8" s="33">
        <v>24</v>
      </c>
      <c r="C8" s="33">
        <v>186507</v>
      </c>
      <c r="D8" s="40"/>
    </row>
    <row r="9" spans="1:4" ht="21.75" customHeight="1">
      <c r="A9" s="42" t="s">
        <v>364</v>
      </c>
      <c r="B9" s="30">
        <v>2</v>
      </c>
      <c r="C9" s="30">
        <v>186137</v>
      </c>
      <c r="D9" s="42"/>
    </row>
    <row r="10" spans="1:4" ht="21.75" customHeight="1">
      <c r="A10" s="40" t="s">
        <v>492</v>
      </c>
      <c r="B10" s="33">
        <v>15</v>
      </c>
      <c r="C10" s="33">
        <v>112920</v>
      </c>
      <c r="D10" s="40"/>
    </row>
    <row r="11" spans="1:4" ht="21.75" customHeight="1">
      <c r="A11" s="42" t="s">
        <v>493</v>
      </c>
      <c r="B11" s="30">
        <v>66</v>
      </c>
      <c r="C11" s="30">
        <v>69823</v>
      </c>
      <c r="D11" s="42"/>
    </row>
    <row r="12" spans="1:4" ht="21.75" customHeight="1">
      <c r="A12" s="40" t="s">
        <v>422</v>
      </c>
      <c r="B12" s="33">
        <v>35</v>
      </c>
      <c r="C12" s="33">
        <v>69621</v>
      </c>
      <c r="D12" s="40"/>
    </row>
    <row r="13" spans="1:4" ht="21.75" customHeight="1">
      <c r="A13" s="42" t="s">
        <v>371</v>
      </c>
      <c r="B13" s="30">
        <v>8</v>
      </c>
      <c r="C13" s="30">
        <v>64194</v>
      </c>
      <c r="D13" s="42"/>
    </row>
    <row r="14" spans="1:4" ht="21.75" customHeight="1">
      <c r="A14" s="40" t="s">
        <v>494</v>
      </c>
      <c r="B14" s="33">
        <v>5</v>
      </c>
      <c r="C14" s="33">
        <v>38756</v>
      </c>
      <c r="D14" s="40"/>
    </row>
    <row r="15" spans="1:4" ht="21.75" customHeight="1">
      <c r="A15" s="42" t="s">
        <v>495</v>
      </c>
      <c r="B15" s="30">
        <v>13</v>
      </c>
      <c r="C15" s="30">
        <v>33989</v>
      </c>
      <c r="D15" s="42"/>
    </row>
    <row r="16" spans="1:4" ht="21.75" customHeight="1">
      <c r="A16" s="40" t="s">
        <v>496</v>
      </c>
      <c r="B16" s="33">
        <v>234</v>
      </c>
      <c r="C16" s="33">
        <v>33655</v>
      </c>
      <c r="D16" s="40"/>
    </row>
    <row r="17" spans="1:4" ht="21.75" customHeight="1">
      <c r="A17" s="42" t="s">
        <v>497</v>
      </c>
      <c r="B17" s="30">
        <v>468</v>
      </c>
      <c r="C17" s="30">
        <v>28383</v>
      </c>
      <c r="D17" s="42"/>
    </row>
    <row r="18" spans="1:4" ht="21.75" customHeight="1">
      <c r="A18" s="40" t="s">
        <v>383</v>
      </c>
      <c r="B18" s="33">
        <v>5</v>
      </c>
      <c r="C18" s="33">
        <v>27260</v>
      </c>
      <c r="D18" s="40"/>
    </row>
    <row r="19" spans="1:4" ht="21.75" customHeight="1">
      <c r="A19" s="42" t="s">
        <v>418</v>
      </c>
      <c r="B19" s="30">
        <v>1</v>
      </c>
      <c r="C19" s="30">
        <v>20356</v>
      </c>
      <c r="D19" s="42"/>
    </row>
    <row r="20" spans="1:4" ht="21.75" customHeight="1">
      <c r="A20" s="40" t="s">
        <v>498</v>
      </c>
      <c r="B20" s="33">
        <v>3</v>
      </c>
      <c r="C20" s="33">
        <v>19070</v>
      </c>
      <c r="D20" s="40"/>
    </row>
    <row r="21" spans="1:4" ht="21.75" customHeight="1">
      <c r="A21" s="42" t="s">
        <v>499</v>
      </c>
      <c r="B21" s="30">
        <v>103</v>
      </c>
      <c r="C21" s="30">
        <v>15101</v>
      </c>
      <c r="D21" s="42"/>
    </row>
    <row r="22" spans="1:4" ht="21.75" customHeight="1">
      <c r="A22" s="40" t="s">
        <v>500</v>
      </c>
      <c r="B22" s="33">
        <v>2</v>
      </c>
      <c r="C22" s="33">
        <v>13811</v>
      </c>
      <c r="D22" s="40"/>
    </row>
    <row r="23" spans="1:4" ht="21.75" customHeight="1">
      <c r="A23" s="42" t="s">
        <v>501</v>
      </c>
      <c r="B23" s="30">
        <v>2</v>
      </c>
      <c r="C23" s="30">
        <v>13191</v>
      </c>
      <c r="D23" s="42"/>
    </row>
    <row r="24" spans="1:4" ht="21.75" customHeight="1">
      <c r="A24" s="40" t="s">
        <v>502</v>
      </c>
      <c r="B24" s="33">
        <v>6</v>
      </c>
      <c r="C24" s="33">
        <v>12405</v>
      </c>
      <c r="D24" s="40"/>
    </row>
    <row r="25" spans="1:4" ht="21.75" customHeight="1">
      <c r="A25" s="42" t="s">
        <v>503</v>
      </c>
      <c r="B25" s="30">
        <v>39</v>
      </c>
      <c r="C25" s="30">
        <v>9850</v>
      </c>
      <c r="D25" s="42"/>
    </row>
    <row r="26" spans="1:4" ht="21.75" customHeight="1">
      <c r="A26" s="40" t="s">
        <v>504</v>
      </c>
      <c r="B26" s="33">
        <v>12</v>
      </c>
      <c r="C26" s="33">
        <v>8900</v>
      </c>
      <c r="D26" s="40"/>
    </row>
    <row r="27" spans="1:4" ht="21.75" customHeight="1">
      <c r="A27" s="42" t="s">
        <v>505</v>
      </c>
      <c r="B27" s="30">
        <v>74</v>
      </c>
      <c r="C27" s="30">
        <v>8200</v>
      </c>
      <c r="D27" s="42"/>
    </row>
    <row r="28" spans="1:4" ht="25.5" customHeight="1">
      <c r="A28" s="68" t="s">
        <v>199</v>
      </c>
      <c r="B28" s="71" t="s">
        <v>56</v>
      </c>
      <c r="C28" s="69">
        <f>SUM(C5:C27)</f>
        <v>2423313</v>
      </c>
      <c r="D28" s="73"/>
    </row>
  </sheetData>
  <mergeCells count="2">
    <mergeCell ref="A1:D1"/>
    <mergeCell ref="A3:D3"/>
  </mergeCells>
  <phoneticPr fontId="42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2"/>
  <sheetViews>
    <sheetView showGridLines="0" zoomScaleNormal="100" workbookViewId="0">
      <selection sqref="A1:G1"/>
    </sheetView>
  </sheetViews>
  <sheetFormatPr defaultColWidth="8.7109375" defaultRowHeight="15"/>
  <cols>
    <col min="1" max="1" width="22" customWidth="1"/>
    <col min="2" max="2" width="14" customWidth="1"/>
    <col min="3" max="3" width="12" customWidth="1"/>
    <col min="4" max="4" width="4" customWidth="1"/>
    <col min="5" max="5" width="18" customWidth="1"/>
    <col min="6" max="6" width="14" customWidth="1"/>
    <col min="7" max="7" width="12" customWidth="1"/>
  </cols>
  <sheetData>
    <row r="1" spans="1:7" ht="27.75" customHeight="1">
      <c r="A1" s="6" t="s">
        <v>506</v>
      </c>
      <c r="B1" s="6"/>
      <c r="C1" s="6"/>
      <c r="D1" s="6"/>
      <c r="E1" s="6"/>
      <c r="F1" s="6"/>
      <c r="G1" s="6"/>
    </row>
    <row r="2" spans="1:7" ht="7.5" customHeight="1">
      <c r="A2" s="25"/>
      <c r="B2" s="25"/>
      <c r="C2" s="25"/>
      <c r="D2" s="25"/>
      <c r="E2" s="25"/>
      <c r="F2" s="25"/>
      <c r="G2" s="25"/>
    </row>
    <row r="3" spans="1:7" ht="21.75" customHeight="1">
      <c r="A3" s="5" t="s">
        <v>507</v>
      </c>
      <c r="B3" s="5"/>
      <c r="C3" s="5"/>
      <c r="E3" s="5" t="s">
        <v>508</v>
      </c>
      <c r="F3" s="5"/>
      <c r="G3" s="5"/>
    </row>
    <row r="4" spans="1:7" ht="21.75" customHeight="1">
      <c r="A4" s="28"/>
      <c r="B4" s="28"/>
      <c r="C4" s="28"/>
      <c r="D4" s="28"/>
      <c r="E4" s="28" t="s">
        <v>509</v>
      </c>
      <c r="F4" s="28" t="s">
        <v>57</v>
      </c>
      <c r="G4" s="28" t="s">
        <v>510</v>
      </c>
    </row>
    <row r="5" spans="1:7" ht="21.75" customHeight="1">
      <c r="A5" s="43" t="s">
        <v>511</v>
      </c>
      <c r="B5" s="30">
        <v>792872</v>
      </c>
      <c r="C5" s="42" t="s">
        <v>512</v>
      </c>
      <c r="E5" s="43" t="s">
        <v>513</v>
      </c>
      <c r="F5" s="30">
        <v>20861</v>
      </c>
      <c r="G5" s="42" t="s">
        <v>514</v>
      </c>
    </row>
    <row r="6" spans="1:7" ht="21.75" customHeight="1">
      <c r="A6" s="41" t="s">
        <v>515</v>
      </c>
      <c r="B6" s="33">
        <v>95867</v>
      </c>
      <c r="C6" s="40" t="s">
        <v>516</v>
      </c>
      <c r="E6" s="41" t="s">
        <v>517</v>
      </c>
      <c r="F6" s="33">
        <v>14783</v>
      </c>
      <c r="G6" s="40" t="s">
        <v>518</v>
      </c>
    </row>
    <row r="7" spans="1:7" ht="25.5" customHeight="1">
      <c r="A7" s="68" t="s">
        <v>199</v>
      </c>
      <c r="B7" s="69">
        <f>SUM(B5:B6)</f>
        <v>888739</v>
      </c>
      <c r="C7" s="71" t="s">
        <v>233</v>
      </c>
      <c r="E7" s="43" t="s">
        <v>519</v>
      </c>
      <c r="F7" s="30">
        <v>767899</v>
      </c>
      <c r="G7" s="42" t="s">
        <v>520</v>
      </c>
    </row>
    <row r="8" spans="1:7" ht="21.75" customHeight="1">
      <c r="A8" s="25"/>
      <c r="B8" s="25"/>
      <c r="C8" s="25"/>
      <c r="D8" s="25"/>
      <c r="E8" s="25"/>
      <c r="F8" s="25"/>
      <c r="G8" s="25"/>
    </row>
    <row r="9" spans="1:7" ht="21.75" customHeight="1">
      <c r="A9" s="5" t="s">
        <v>521</v>
      </c>
      <c r="B9" s="5"/>
      <c r="C9" s="5"/>
      <c r="E9" s="5" t="s">
        <v>522</v>
      </c>
      <c r="F9" s="5"/>
      <c r="G9" s="5"/>
    </row>
    <row r="10" spans="1:7" ht="21.75" customHeight="1">
      <c r="A10" s="28"/>
      <c r="B10" s="28"/>
      <c r="C10" s="28"/>
      <c r="D10" s="28"/>
      <c r="E10" s="28" t="s">
        <v>523</v>
      </c>
      <c r="F10" s="28" t="s">
        <v>57</v>
      </c>
      <c r="G10" s="28" t="s">
        <v>510</v>
      </c>
    </row>
    <row r="11" spans="1:7" ht="21.75" customHeight="1">
      <c r="A11" s="43" t="s">
        <v>524</v>
      </c>
      <c r="B11" s="30">
        <v>406667</v>
      </c>
      <c r="C11" s="42" t="s">
        <v>525</v>
      </c>
      <c r="E11" s="42" t="s">
        <v>526</v>
      </c>
      <c r="F11" s="30">
        <v>9006</v>
      </c>
      <c r="G11" s="42" t="s">
        <v>527</v>
      </c>
    </row>
    <row r="12" spans="1:7" ht="21.75" customHeight="1">
      <c r="A12" s="41" t="s">
        <v>528</v>
      </c>
      <c r="B12" s="33">
        <v>389842</v>
      </c>
      <c r="C12" s="40" t="s">
        <v>529</v>
      </c>
      <c r="E12" s="40" t="s">
        <v>530</v>
      </c>
      <c r="F12" s="33">
        <v>10719</v>
      </c>
      <c r="G12" s="40" t="s">
        <v>531</v>
      </c>
    </row>
    <row r="13" spans="1:7" ht="21.75" customHeight="1">
      <c r="A13" s="43" t="s">
        <v>532</v>
      </c>
      <c r="B13" s="30">
        <v>6965</v>
      </c>
      <c r="C13" s="42" t="s">
        <v>533</v>
      </c>
      <c r="E13" s="42" t="s">
        <v>534</v>
      </c>
      <c r="F13" s="30">
        <v>6933</v>
      </c>
      <c r="G13" s="42" t="s">
        <v>533</v>
      </c>
    </row>
    <row r="14" spans="1:7" ht="25.5" customHeight="1">
      <c r="A14" s="68" t="s">
        <v>199</v>
      </c>
      <c r="B14" s="69">
        <f>SUM(B11:B13)</f>
        <v>803474</v>
      </c>
      <c r="C14" s="71" t="s">
        <v>233</v>
      </c>
      <c r="E14" s="40" t="s">
        <v>535</v>
      </c>
      <c r="F14" s="33">
        <v>5032</v>
      </c>
      <c r="G14" s="40" t="s">
        <v>536</v>
      </c>
    </row>
    <row r="15" spans="1:7" ht="21.75" customHeight="1">
      <c r="A15" s="25"/>
      <c r="B15" s="25"/>
      <c r="C15" s="25"/>
      <c r="D15" s="25"/>
      <c r="E15" s="42" t="s">
        <v>537</v>
      </c>
      <c r="F15" s="30">
        <v>1913</v>
      </c>
      <c r="G15" s="42" t="s">
        <v>538</v>
      </c>
    </row>
    <row r="16" spans="1:7" ht="21.75" customHeight="1">
      <c r="A16" s="5" t="s">
        <v>539</v>
      </c>
      <c r="B16" s="5"/>
      <c r="C16" s="5"/>
      <c r="E16" s="40" t="s">
        <v>540</v>
      </c>
      <c r="F16" s="33">
        <v>923</v>
      </c>
      <c r="G16" s="40" t="s">
        <v>541</v>
      </c>
    </row>
    <row r="17" spans="1:7" ht="21.75" customHeight="1">
      <c r="A17" s="28" t="s">
        <v>542</v>
      </c>
      <c r="B17" s="28" t="s">
        <v>57</v>
      </c>
      <c r="C17" s="28" t="s">
        <v>510</v>
      </c>
      <c r="E17" s="43" t="s">
        <v>519</v>
      </c>
      <c r="F17" s="30">
        <v>769453</v>
      </c>
      <c r="G17" s="42" t="s">
        <v>543</v>
      </c>
    </row>
    <row r="18" spans="1:7" ht="21.75" customHeight="1">
      <c r="A18" s="41" t="s">
        <v>544</v>
      </c>
      <c r="B18" s="33">
        <v>45775</v>
      </c>
      <c r="C18" s="40" t="s">
        <v>545</v>
      </c>
    </row>
    <row r="19" spans="1:7" ht="21.75" customHeight="1">
      <c r="A19" s="43" t="s">
        <v>546</v>
      </c>
      <c r="B19" s="30">
        <v>32754</v>
      </c>
      <c r="C19" s="42" t="s">
        <v>547</v>
      </c>
    </row>
    <row r="20" spans="1:7" ht="21.75" customHeight="1">
      <c r="A20" s="40" t="s">
        <v>548</v>
      </c>
      <c r="B20" s="33">
        <v>24892</v>
      </c>
      <c r="C20" s="40" t="s">
        <v>549</v>
      </c>
    </row>
    <row r="21" spans="1:7" ht="21.75" customHeight="1">
      <c r="A21" s="43" t="s">
        <v>550</v>
      </c>
      <c r="B21" s="30">
        <v>22653</v>
      </c>
      <c r="C21" s="42" t="s">
        <v>551</v>
      </c>
    </row>
    <row r="22" spans="1:7" ht="21.75" customHeight="1">
      <c r="A22" s="41" t="s">
        <v>552</v>
      </c>
      <c r="B22" s="33">
        <v>19021</v>
      </c>
      <c r="C22" s="40" t="s">
        <v>553</v>
      </c>
    </row>
    <row r="23" spans="1:7" ht="21.75" customHeight="1">
      <c r="A23" s="43" t="s">
        <v>554</v>
      </c>
      <c r="B23" s="30">
        <v>18777</v>
      </c>
      <c r="C23" s="42" t="s">
        <v>553</v>
      </c>
    </row>
    <row r="24" spans="1:7" ht="21.75" customHeight="1">
      <c r="A24" s="41" t="s">
        <v>555</v>
      </c>
      <c r="B24" s="33">
        <v>18104</v>
      </c>
      <c r="C24" s="40" t="s">
        <v>556</v>
      </c>
    </row>
    <row r="25" spans="1:7" ht="21.75" customHeight="1">
      <c r="A25" s="43" t="s">
        <v>557</v>
      </c>
      <c r="B25" s="30">
        <v>17035</v>
      </c>
      <c r="C25" s="42" t="s">
        <v>558</v>
      </c>
    </row>
    <row r="26" spans="1:7" ht="21.75" customHeight="1">
      <c r="A26" s="41" t="s">
        <v>559</v>
      </c>
      <c r="B26" s="33">
        <v>17003</v>
      </c>
      <c r="C26" s="40" t="s">
        <v>558</v>
      </c>
    </row>
    <row r="27" spans="1:7" ht="21.75" customHeight="1">
      <c r="A27" s="43" t="s">
        <v>560</v>
      </c>
      <c r="B27" s="30">
        <v>16024</v>
      </c>
      <c r="C27" s="42" t="s">
        <v>561</v>
      </c>
    </row>
    <row r="28" spans="1:7" ht="21.75" customHeight="1">
      <c r="A28" s="41" t="s">
        <v>562</v>
      </c>
      <c r="B28" s="33">
        <v>11620</v>
      </c>
      <c r="C28" s="40" t="s">
        <v>563</v>
      </c>
    </row>
    <row r="29" spans="1:7" ht="21.75" customHeight="1">
      <c r="A29" s="42" t="s">
        <v>564</v>
      </c>
      <c r="B29" s="30">
        <v>10333</v>
      </c>
      <c r="C29" s="42" t="s">
        <v>565</v>
      </c>
    </row>
    <row r="30" spans="1:7" ht="21.75" customHeight="1">
      <c r="A30" s="41" t="s">
        <v>566</v>
      </c>
      <c r="B30" s="33">
        <v>9685</v>
      </c>
      <c r="C30" s="40" t="s">
        <v>567</v>
      </c>
    </row>
    <row r="31" spans="1:7" ht="21.75" customHeight="1">
      <c r="A31" s="42" t="s">
        <v>568</v>
      </c>
      <c r="B31" s="30">
        <v>9455</v>
      </c>
      <c r="C31" s="42" t="s">
        <v>567</v>
      </c>
    </row>
    <row r="32" spans="1:7" ht="15.75" customHeight="1">
      <c r="A32" s="41" t="s">
        <v>569</v>
      </c>
      <c r="B32" s="33">
        <v>9063</v>
      </c>
      <c r="C32" s="40" t="s">
        <v>518</v>
      </c>
    </row>
  </sheetData>
  <mergeCells count="6">
    <mergeCell ref="A16:C16"/>
    <mergeCell ref="A1:G1"/>
    <mergeCell ref="A3:C3"/>
    <mergeCell ref="E3:G3"/>
    <mergeCell ref="A9:C9"/>
    <mergeCell ref="E9:G9"/>
  </mergeCells>
  <phoneticPr fontId="42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showGridLines="0" topLeftCell="A3" zoomScaleNormal="100" workbookViewId="0">
      <selection activeCell="J30" sqref="J30"/>
    </sheetView>
  </sheetViews>
  <sheetFormatPr defaultColWidth="8.7109375" defaultRowHeight="15"/>
  <cols>
    <col min="1" max="1" width="10" customWidth="1"/>
    <col min="2" max="2" width="13" customWidth="1"/>
    <col min="3" max="4" width="11" customWidth="1"/>
    <col min="5" max="5" width="5" customWidth="1"/>
    <col min="6" max="6" width="10" customWidth="1"/>
    <col min="7" max="7" width="13" customWidth="1"/>
    <col min="8" max="8" width="11" customWidth="1"/>
  </cols>
  <sheetData>
    <row r="1" spans="1:8" ht="27.75" customHeight="1">
      <c r="A1" s="6" t="s">
        <v>570</v>
      </c>
      <c r="B1" s="6"/>
      <c r="C1" s="6"/>
      <c r="D1" s="6"/>
      <c r="E1" s="6"/>
      <c r="F1" s="6"/>
      <c r="G1" s="6"/>
      <c r="H1" s="6"/>
    </row>
    <row r="2" spans="1:8" ht="7.5" customHeight="1">
      <c r="A2" s="25"/>
      <c r="B2" s="25"/>
      <c r="C2" s="25"/>
      <c r="D2" s="25"/>
      <c r="E2" s="25"/>
      <c r="F2" s="25"/>
      <c r="G2" s="25"/>
      <c r="H2" s="25"/>
    </row>
    <row r="3" spans="1:8" ht="21.75" customHeight="1">
      <c r="A3" s="5" t="s">
        <v>571</v>
      </c>
      <c r="B3" s="5"/>
      <c r="C3" s="5"/>
      <c r="D3" s="5"/>
      <c r="E3" s="25"/>
      <c r="F3" s="5" t="s">
        <v>572</v>
      </c>
      <c r="G3" s="5"/>
      <c r="H3" s="5"/>
    </row>
    <row r="4" spans="1:8" ht="25.5" customHeight="1">
      <c r="A4" s="28" t="s">
        <v>573</v>
      </c>
      <c r="B4" s="28" t="s">
        <v>255</v>
      </c>
      <c r="C4" s="50" t="s">
        <v>98</v>
      </c>
      <c r="D4" s="50" t="s">
        <v>574</v>
      </c>
      <c r="E4" s="25"/>
      <c r="F4" s="28" t="s">
        <v>575</v>
      </c>
      <c r="G4" s="28" t="s">
        <v>255</v>
      </c>
      <c r="H4" s="50" t="s">
        <v>98</v>
      </c>
    </row>
    <row r="5" spans="1:8" ht="21.75" customHeight="1">
      <c r="A5" s="43" t="s">
        <v>576</v>
      </c>
      <c r="B5" s="30">
        <v>123371</v>
      </c>
      <c r="C5" s="30">
        <v>114</v>
      </c>
      <c r="D5" s="89">
        <f>C5/C12</f>
        <v>8.4194977843426888E-2</v>
      </c>
      <c r="E5" s="25"/>
      <c r="F5" s="42" t="s">
        <v>577</v>
      </c>
      <c r="G5" s="30">
        <v>34832</v>
      </c>
      <c r="H5" s="30">
        <v>19</v>
      </c>
    </row>
    <row r="6" spans="1:8" ht="21.75" customHeight="1">
      <c r="A6" s="41" t="s">
        <v>578</v>
      </c>
      <c r="B6" s="33">
        <v>158362</v>
      </c>
      <c r="C6" s="33">
        <v>229</v>
      </c>
      <c r="D6" s="91">
        <f>C6/C12</f>
        <v>0.16912850812407682</v>
      </c>
      <c r="E6" s="25"/>
      <c r="F6" s="40" t="s">
        <v>579</v>
      </c>
      <c r="G6" s="33">
        <v>24916</v>
      </c>
      <c r="H6" s="33">
        <v>10</v>
      </c>
    </row>
    <row r="7" spans="1:8" ht="21.75" customHeight="1">
      <c r="A7" s="29" t="s">
        <v>580</v>
      </c>
      <c r="B7" s="54">
        <v>173875</v>
      </c>
      <c r="C7" s="54">
        <v>277</v>
      </c>
      <c r="D7" s="95">
        <f>C7/C12</f>
        <v>0.20457902511078285</v>
      </c>
      <c r="E7" s="25"/>
      <c r="F7" s="42" t="s">
        <v>581</v>
      </c>
      <c r="G7" s="30">
        <v>19389</v>
      </c>
      <c r="H7" s="30">
        <v>7</v>
      </c>
    </row>
    <row r="8" spans="1:8" ht="21.75" customHeight="1">
      <c r="A8" s="41" t="s">
        <v>582</v>
      </c>
      <c r="B8" s="33">
        <v>162320</v>
      </c>
      <c r="C8" s="33">
        <v>200</v>
      </c>
      <c r="D8" s="91">
        <f>C8/C12</f>
        <v>0.14771048744460857</v>
      </c>
      <c r="E8" s="25"/>
      <c r="F8" s="40" t="s">
        <v>583</v>
      </c>
      <c r="G8" s="33">
        <v>17370</v>
      </c>
      <c r="H8" s="33">
        <v>7</v>
      </c>
    </row>
    <row r="9" spans="1:8" ht="21.75" customHeight="1">
      <c r="A9" s="43" t="s">
        <v>584</v>
      </c>
      <c r="B9" s="30">
        <v>153854</v>
      </c>
      <c r="C9" s="30">
        <v>193</v>
      </c>
      <c r="D9" s="89">
        <f>C9/C12</f>
        <v>0.14254062038404727</v>
      </c>
      <c r="E9" s="25"/>
      <c r="F9" s="42" t="s">
        <v>585</v>
      </c>
      <c r="G9" s="30">
        <v>16925</v>
      </c>
      <c r="H9" s="30">
        <v>6</v>
      </c>
    </row>
    <row r="10" spans="1:8" ht="21.75" customHeight="1">
      <c r="A10" s="41" t="s">
        <v>586</v>
      </c>
      <c r="B10" s="33">
        <v>159133</v>
      </c>
      <c r="C10" s="33">
        <v>211</v>
      </c>
      <c r="D10" s="91">
        <f>C10/C12</f>
        <v>0.15583456425406203</v>
      </c>
      <c r="E10" s="25"/>
      <c r="F10" s="40" t="s">
        <v>587</v>
      </c>
      <c r="G10" s="33">
        <v>19540</v>
      </c>
      <c r="H10" s="33">
        <v>11</v>
      </c>
    </row>
    <row r="11" spans="1:8" ht="21.75" customHeight="1">
      <c r="A11" s="43" t="s">
        <v>588</v>
      </c>
      <c r="B11" s="30">
        <v>125236</v>
      </c>
      <c r="C11" s="30">
        <v>130</v>
      </c>
      <c r="D11" s="89">
        <f>C11/C12</f>
        <v>9.6011816838995567E-2</v>
      </c>
      <c r="E11" s="25"/>
      <c r="F11" s="42" t="s">
        <v>589</v>
      </c>
      <c r="G11" s="30">
        <v>29235</v>
      </c>
      <c r="H11" s="30">
        <v>16</v>
      </c>
    </row>
    <row r="12" spans="1:8" ht="24" customHeight="1">
      <c r="A12" s="68" t="s">
        <v>199</v>
      </c>
      <c r="B12" s="69">
        <f>SUM(B5:B11)</f>
        <v>1056151</v>
      </c>
      <c r="C12" s="69">
        <f>SUM(C5:C11)</f>
        <v>1354</v>
      </c>
      <c r="D12" s="71" t="s">
        <v>233</v>
      </c>
      <c r="E12" s="25"/>
      <c r="F12" s="40" t="s">
        <v>590</v>
      </c>
      <c r="G12" s="33">
        <v>34379</v>
      </c>
      <c r="H12" s="33">
        <v>24</v>
      </c>
    </row>
    <row r="13" spans="1:8" ht="21.75" customHeight="1">
      <c r="A13" s="25"/>
      <c r="B13" s="25"/>
      <c r="C13" s="25"/>
      <c r="D13" s="25"/>
      <c r="E13" s="25"/>
      <c r="F13" s="42" t="s">
        <v>591</v>
      </c>
      <c r="G13" s="30">
        <v>64973</v>
      </c>
      <c r="H13" s="30">
        <v>42</v>
      </c>
    </row>
    <row r="14" spans="1:8" ht="21.75" customHeight="1">
      <c r="A14" s="25"/>
      <c r="B14" s="25"/>
      <c r="C14" s="25"/>
      <c r="D14" s="25"/>
      <c r="E14" s="25"/>
      <c r="F14" s="78" t="s">
        <v>592</v>
      </c>
      <c r="G14" s="44">
        <v>52821</v>
      </c>
      <c r="H14" s="44">
        <v>101</v>
      </c>
    </row>
    <row r="15" spans="1:8" ht="21.75" customHeight="1">
      <c r="A15" s="25"/>
      <c r="B15" s="25"/>
      <c r="C15" s="25"/>
      <c r="D15" s="25"/>
      <c r="E15" s="25"/>
      <c r="F15" s="37" t="s">
        <v>593</v>
      </c>
      <c r="G15" s="54">
        <v>59699</v>
      </c>
      <c r="H15" s="54">
        <v>106</v>
      </c>
    </row>
    <row r="16" spans="1:8" ht="21.75" customHeight="1">
      <c r="A16" s="25"/>
      <c r="B16" s="25"/>
      <c r="C16" s="25"/>
      <c r="D16" s="25"/>
      <c r="E16" s="25"/>
      <c r="F16" s="78" t="s">
        <v>594</v>
      </c>
      <c r="G16" s="44">
        <v>59245</v>
      </c>
      <c r="H16" s="44">
        <v>123</v>
      </c>
    </row>
    <row r="17" spans="1:8" ht="21.75" customHeight="1">
      <c r="A17" s="25"/>
      <c r="B17" s="25"/>
      <c r="C17" s="25"/>
      <c r="D17" s="25"/>
      <c r="E17" s="25"/>
      <c r="F17" s="37" t="s">
        <v>595</v>
      </c>
      <c r="G17" s="54">
        <v>60699</v>
      </c>
      <c r="H17" s="54">
        <v>83</v>
      </c>
    </row>
    <row r="18" spans="1:8" ht="21.75" customHeight="1">
      <c r="A18" s="25"/>
      <c r="B18" s="25"/>
      <c r="C18" s="25"/>
      <c r="D18" s="25"/>
      <c r="E18" s="25"/>
      <c r="F18" s="78" t="s">
        <v>596</v>
      </c>
      <c r="G18" s="44">
        <v>60739</v>
      </c>
      <c r="H18" s="44">
        <v>94</v>
      </c>
    </row>
    <row r="19" spans="1:8" ht="21.75" customHeight="1">
      <c r="A19" s="25"/>
      <c r="B19" s="25"/>
      <c r="C19" s="25"/>
      <c r="D19" s="25"/>
      <c r="E19" s="25"/>
      <c r="F19" s="37" t="s">
        <v>597</v>
      </c>
      <c r="G19" s="54">
        <v>63395</v>
      </c>
      <c r="H19" s="54">
        <v>111</v>
      </c>
    </row>
    <row r="20" spans="1:8" ht="21.75" customHeight="1">
      <c r="A20" s="25"/>
      <c r="B20" s="25"/>
      <c r="C20" s="25"/>
      <c r="D20" s="25"/>
      <c r="E20" s="25"/>
      <c r="F20" s="78" t="s">
        <v>598</v>
      </c>
      <c r="G20" s="44">
        <v>64690</v>
      </c>
      <c r="H20" s="44">
        <v>100</v>
      </c>
    </row>
    <row r="21" spans="1:8" ht="21.75" customHeight="1">
      <c r="A21" s="25"/>
      <c r="B21" s="25"/>
      <c r="C21" s="25"/>
      <c r="D21" s="25"/>
      <c r="E21" s="25"/>
      <c r="F21" s="37" t="s">
        <v>599</v>
      </c>
      <c r="G21" s="54">
        <v>64799</v>
      </c>
      <c r="H21" s="54">
        <v>112</v>
      </c>
    </row>
    <row r="22" spans="1:8" ht="21.75" customHeight="1">
      <c r="A22" s="25"/>
      <c r="B22" s="25"/>
      <c r="C22" s="25"/>
      <c r="D22" s="25"/>
      <c r="E22" s="25"/>
      <c r="F22" s="78" t="s">
        <v>600</v>
      </c>
      <c r="G22" s="44">
        <v>61817</v>
      </c>
      <c r="H22" s="44">
        <v>110</v>
      </c>
    </row>
    <row r="23" spans="1:8" ht="21.75" customHeight="1">
      <c r="A23" s="25"/>
      <c r="B23" s="25"/>
      <c r="C23" s="25"/>
      <c r="D23" s="25"/>
      <c r="E23" s="25"/>
      <c r="F23" s="42" t="s">
        <v>601</v>
      </c>
      <c r="G23" s="30">
        <v>56784</v>
      </c>
      <c r="H23" s="30">
        <v>69</v>
      </c>
    </row>
    <row r="24" spans="1:8" ht="21.75" customHeight="1">
      <c r="A24" s="25"/>
      <c r="B24" s="25"/>
      <c r="C24" s="25"/>
      <c r="D24" s="25"/>
      <c r="E24" s="25"/>
      <c r="F24" s="40" t="s">
        <v>602</v>
      </c>
      <c r="G24" s="33">
        <v>49643</v>
      </c>
      <c r="H24" s="33">
        <v>52</v>
      </c>
    </row>
    <row r="25" spans="1:8" ht="21.75" customHeight="1">
      <c r="A25" s="25"/>
      <c r="B25" s="25"/>
      <c r="C25" s="25"/>
      <c r="D25" s="25"/>
      <c r="E25" s="25"/>
      <c r="F25" s="42" t="s">
        <v>603</v>
      </c>
      <c r="G25" s="30">
        <v>50771</v>
      </c>
      <c r="H25" s="30">
        <v>38</v>
      </c>
    </row>
    <row r="26" spans="1:8" ht="21.75" customHeight="1">
      <c r="A26" s="25"/>
      <c r="B26" s="25"/>
      <c r="C26" s="25"/>
      <c r="D26" s="25"/>
      <c r="E26" s="25"/>
      <c r="F26" s="40" t="s">
        <v>604</v>
      </c>
      <c r="G26" s="33">
        <v>52113</v>
      </c>
      <c r="H26" s="33">
        <v>38</v>
      </c>
    </row>
    <row r="27" spans="1:8" ht="21.75" customHeight="1">
      <c r="A27" s="25"/>
      <c r="B27" s="25"/>
      <c r="C27" s="25"/>
      <c r="D27" s="25"/>
      <c r="E27" s="25"/>
      <c r="F27" s="42" t="s">
        <v>605</v>
      </c>
      <c r="G27" s="30">
        <v>47443</v>
      </c>
      <c r="H27" s="30">
        <v>27</v>
      </c>
    </row>
    <row r="28" spans="1:8" ht="21.75" customHeight="1">
      <c r="A28" s="25"/>
      <c r="B28" s="25"/>
      <c r="C28" s="25"/>
      <c r="D28" s="25"/>
      <c r="E28" s="25"/>
      <c r="F28" s="40" t="s">
        <v>606</v>
      </c>
      <c r="G28" s="33">
        <v>40124</v>
      </c>
      <c r="H28" s="33">
        <v>14</v>
      </c>
    </row>
    <row r="29" spans="1:8" ht="7.5" customHeight="1">
      <c r="A29" s="25"/>
      <c r="B29" s="25"/>
      <c r="C29" s="25"/>
      <c r="D29" s="25"/>
      <c r="E29" s="25"/>
      <c r="F29" s="25"/>
      <c r="G29" s="25"/>
      <c r="H29" s="25"/>
    </row>
    <row r="30" spans="1:8" ht="42" customHeight="1">
      <c r="A30" s="119" t="s">
        <v>707</v>
      </c>
      <c r="B30" s="112"/>
      <c r="C30" s="112"/>
      <c r="D30" s="112"/>
      <c r="E30" s="112"/>
      <c r="F30" s="112"/>
      <c r="G30" s="112"/>
      <c r="H30" s="112"/>
    </row>
    <row r="31" spans="1:8" ht="15" customHeight="1">
      <c r="E31" s="25"/>
    </row>
  </sheetData>
  <mergeCells count="4">
    <mergeCell ref="A1:H1"/>
    <mergeCell ref="A3:D3"/>
    <mergeCell ref="F3:H3"/>
    <mergeCell ref="A30:H30"/>
  </mergeCells>
  <phoneticPr fontId="42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4"/>
  <sheetViews>
    <sheetView showGridLines="0" tabSelected="1" zoomScaleNormal="100" workbookViewId="0">
      <selection activeCell="D10" sqref="D10"/>
    </sheetView>
  </sheetViews>
  <sheetFormatPr defaultColWidth="8.7109375" defaultRowHeight="15"/>
  <cols>
    <col min="1" max="1" width="13.85546875" style="122" customWidth="1"/>
    <col min="2" max="2" width="15.85546875" style="122" customWidth="1"/>
    <col min="3" max="3" width="22" style="122" customWidth="1"/>
    <col min="4" max="4" width="55.28515625" style="122" customWidth="1"/>
    <col min="5" max="5" width="20" style="122" customWidth="1"/>
    <col min="6" max="16384" width="8.7109375" style="122"/>
  </cols>
  <sheetData>
    <row r="1" spans="1:5" ht="27.75" customHeight="1">
      <c r="A1" s="6" t="s">
        <v>607</v>
      </c>
      <c r="B1" s="6"/>
      <c r="C1" s="6"/>
      <c r="D1" s="6"/>
      <c r="E1" s="6"/>
    </row>
    <row r="2" spans="1:5" ht="55.5" customHeight="1">
      <c r="A2" s="120" t="s">
        <v>708</v>
      </c>
      <c r="B2" s="113"/>
      <c r="C2" s="113"/>
      <c r="D2" s="113"/>
      <c r="E2" s="113"/>
    </row>
    <row r="3" spans="1:5" ht="21.75" customHeight="1">
      <c r="A3" s="50"/>
      <c r="B3" s="28" t="s">
        <v>608</v>
      </c>
      <c r="C3" s="28" t="s">
        <v>609</v>
      </c>
      <c r="D3" s="28" t="s">
        <v>610</v>
      </c>
      <c r="E3" s="28" t="s">
        <v>611</v>
      </c>
    </row>
    <row r="4" spans="1:5" ht="21.75" customHeight="1">
      <c r="A4" s="43" t="s">
        <v>612</v>
      </c>
      <c r="B4" s="96" t="s">
        <v>613</v>
      </c>
      <c r="C4" s="96" t="s">
        <v>614</v>
      </c>
      <c r="D4" s="96" t="s">
        <v>615</v>
      </c>
      <c r="E4" s="96" t="s">
        <v>414</v>
      </c>
    </row>
    <row r="5" spans="1:5" ht="21.75" customHeight="1">
      <c r="A5" s="78" t="s">
        <v>616</v>
      </c>
      <c r="B5" s="97" t="s">
        <v>617</v>
      </c>
      <c r="C5" s="97" t="s">
        <v>618</v>
      </c>
      <c r="D5" s="97" t="s">
        <v>619</v>
      </c>
      <c r="E5" s="97" t="s">
        <v>620</v>
      </c>
    </row>
    <row r="6" spans="1:5" ht="21.75" customHeight="1">
      <c r="A6" s="123"/>
      <c r="B6" s="123"/>
      <c r="C6" s="123"/>
      <c r="D6" s="123"/>
      <c r="E6" s="123"/>
    </row>
    <row r="7" spans="1:5" ht="4.5" customHeight="1">
      <c r="A7" s="124"/>
      <c r="B7" s="124"/>
      <c r="C7" s="124"/>
      <c r="D7" s="124"/>
      <c r="E7" s="124"/>
    </row>
    <row r="8" spans="1:5" ht="84.75" customHeight="1">
      <c r="A8" s="121" t="s">
        <v>709</v>
      </c>
      <c r="B8" s="121"/>
      <c r="C8" s="121"/>
      <c r="D8" s="121"/>
      <c r="E8" s="121"/>
    </row>
    <row r="9" spans="1:5" ht="27.75" customHeight="1">
      <c r="A9" s="28" t="s">
        <v>621</v>
      </c>
      <c r="B9" s="50" t="s">
        <v>622</v>
      </c>
      <c r="C9" s="28" t="s">
        <v>623</v>
      </c>
      <c r="D9" s="28" t="s">
        <v>624</v>
      </c>
      <c r="E9" s="28" t="s">
        <v>625</v>
      </c>
    </row>
    <row r="10" spans="1:5" ht="174" customHeight="1">
      <c r="A10" s="98" t="s">
        <v>626</v>
      </c>
      <c r="B10" s="99" t="s">
        <v>627</v>
      </c>
      <c r="C10" s="100" t="s">
        <v>628</v>
      </c>
      <c r="D10" s="48" t="s">
        <v>629</v>
      </c>
      <c r="E10" s="101" t="s">
        <v>630</v>
      </c>
    </row>
    <row r="11" spans="1:5" ht="4.5" customHeight="1">
      <c r="A11" s="124"/>
      <c r="B11" s="124"/>
      <c r="C11" s="124"/>
      <c r="D11" s="124"/>
      <c r="E11" s="124"/>
    </row>
    <row r="12" spans="1:5" ht="48.75" customHeight="1">
      <c r="A12" s="114" t="s">
        <v>631</v>
      </c>
      <c r="B12" s="114"/>
      <c r="C12" s="114"/>
      <c r="D12" s="114"/>
      <c r="E12" s="114"/>
    </row>
    <row r="13" spans="1:5" ht="27.75" customHeight="1">
      <c r="A13" s="28" t="s">
        <v>621</v>
      </c>
      <c r="B13" s="50" t="s">
        <v>622</v>
      </c>
      <c r="C13" s="28" t="s">
        <v>623</v>
      </c>
      <c r="D13" s="28" t="s">
        <v>624</v>
      </c>
      <c r="E13" s="28" t="s">
        <v>625</v>
      </c>
    </row>
    <row r="14" spans="1:5" ht="60" customHeight="1">
      <c r="A14" s="102" t="s">
        <v>632</v>
      </c>
      <c r="B14" s="103" t="s">
        <v>633</v>
      </c>
      <c r="C14" s="104" t="s">
        <v>634</v>
      </c>
      <c r="D14" s="126" t="s">
        <v>635</v>
      </c>
      <c r="E14" s="104" t="s">
        <v>636</v>
      </c>
    </row>
    <row r="15" spans="1:5" ht="69.75" customHeight="1">
      <c r="A15" s="98" t="s">
        <v>637</v>
      </c>
      <c r="B15" s="99" t="s">
        <v>638</v>
      </c>
      <c r="C15" s="101" t="s">
        <v>639</v>
      </c>
      <c r="D15" s="48" t="s">
        <v>640</v>
      </c>
      <c r="E15" s="101" t="s">
        <v>641</v>
      </c>
    </row>
    <row r="16" spans="1:5" ht="60" customHeight="1">
      <c r="A16" s="102" t="s">
        <v>642</v>
      </c>
      <c r="B16" s="103" t="s">
        <v>643</v>
      </c>
      <c r="C16" s="104" t="s">
        <v>644</v>
      </c>
      <c r="D16" s="49" t="s">
        <v>645</v>
      </c>
      <c r="E16" s="104" t="s">
        <v>646</v>
      </c>
    </row>
    <row r="17" spans="1:5" ht="4.5" customHeight="1">
      <c r="A17" s="124"/>
      <c r="B17" s="124"/>
      <c r="C17" s="124"/>
      <c r="D17" s="124"/>
      <c r="E17" s="124"/>
    </row>
    <row r="18" spans="1:5" ht="48.75" customHeight="1">
      <c r="A18" s="114" t="s">
        <v>647</v>
      </c>
      <c r="B18" s="114"/>
      <c r="C18" s="114"/>
      <c r="D18" s="114"/>
      <c r="E18" s="114"/>
    </row>
    <row r="19" spans="1:5" ht="27.75" customHeight="1">
      <c r="A19" s="28" t="s">
        <v>621</v>
      </c>
      <c r="B19" s="50" t="s">
        <v>622</v>
      </c>
      <c r="C19" s="28" t="s">
        <v>623</v>
      </c>
      <c r="D19" s="28" t="s">
        <v>624</v>
      </c>
      <c r="E19" s="28" t="s">
        <v>625</v>
      </c>
    </row>
    <row r="20" spans="1:5" ht="69.75" customHeight="1">
      <c r="A20" s="102" t="s">
        <v>648</v>
      </c>
      <c r="B20" s="103" t="s">
        <v>649</v>
      </c>
      <c r="C20" s="104" t="s">
        <v>650</v>
      </c>
      <c r="D20" s="49" t="s">
        <v>651</v>
      </c>
      <c r="E20" s="104" t="s">
        <v>652</v>
      </c>
    </row>
    <row r="21" spans="1:5" ht="69.75" customHeight="1">
      <c r="A21" s="98" t="s">
        <v>720</v>
      </c>
      <c r="B21" s="99" t="s">
        <v>653</v>
      </c>
      <c r="C21" s="132" t="s">
        <v>718</v>
      </c>
      <c r="D21" s="133" t="s">
        <v>719</v>
      </c>
      <c r="E21" s="101" t="s">
        <v>654</v>
      </c>
    </row>
    <row r="22" spans="1:5" ht="4.5" customHeight="1">
      <c r="A22" s="124"/>
      <c r="B22" s="124"/>
      <c r="C22" s="124"/>
      <c r="D22" s="124"/>
      <c r="E22" s="124"/>
    </row>
    <row r="23" spans="1:5" ht="48.75" customHeight="1">
      <c r="A23" s="114" t="s">
        <v>655</v>
      </c>
      <c r="B23" s="114"/>
      <c r="C23" s="114"/>
      <c r="D23" s="114"/>
      <c r="E23" s="114"/>
    </row>
    <row r="24" spans="1:5" ht="27.75" customHeight="1">
      <c r="A24" s="28" t="s">
        <v>621</v>
      </c>
      <c r="B24" s="50" t="s">
        <v>622</v>
      </c>
      <c r="C24" s="28" t="s">
        <v>623</v>
      </c>
      <c r="D24" s="28" t="s">
        <v>624</v>
      </c>
      <c r="E24" s="28" t="s">
        <v>625</v>
      </c>
    </row>
    <row r="25" spans="1:5" ht="65.25" customHeight="1">
      <c r="A25" s="102" t="s">
        <v>656</v>
      </c>
      <c r="B25" s="103" t="s">
        <v>657</v>
      </c>
      <c r="C25" s="104" t="s">
        <v>658</v>
      </c>
      <c r="D25" s="131" t="s">
        <v>715</v>
      </c>
      <c r="E25" s="104" t="s">
        <v>659</v>
      </c>
    </row>
    <row r="26" spans="1:5" ht="93.75" customHeight="1">
      <c r="A26" s="98" t="s">
        <v>660</v>
      </c>
      <c r="B26" s="99" t="s">
        <v>661</v>
      </c>
      <c r="C26" s="101" t="s">
        <v>662</v>
      </c>
      <c r="D26" s="129" t="s">
        <v>716</v>
      </c>
      <c r="E26" s="101" t="s">
        <v>663</v>
      </c>
    </row>
    <row r="27" spans="1:5" ht="69.75" customHeight="1">
      <c r="A27" s="102" t="s">
        <v>664</v>
      </c>
      <c r="B27" s="103" t="s">
        <v>665</v>
      </c>
      <c r="C27" s="104" t="s">
        <v>666</v>
      </c>
      <c r="D27" s="131" t="s">
        <v>717</v>
      </c>
      <c r="E27" s="104" t="s">
        <v>667</v>
      </c>
    </row>
    <row r="28" spans="1:5" ht="4.5" customHeight="1">
      <c r="A28" s="124"/>
      <c r="B28" s="124"/>
      <c r="C28" s="124"/>
      <c r="D28" s="124"/>
      <c r="E28" s="124"/>
    </row>
    <row r="29" spans="1:5" ht="48.75" customHeight="1">
      <c r="A29" s="114" t="s">
        <v>668</v>
      </c>
      <c r="B29" s="114"/>
      <c r="C29" s="114"/>
      <c r="D29" s="114"/>
      <c r="E29" s="114"/>
    </row>
    <row r="30" spans="1:5" ht="27.75" customHeight="1">
      <c r="A30" s="28" t="s">
        <v>621</v>
      </c>
      <c r="B30" s="50" t="s">
        <v>622</v>
      </c>
      <c r="C30" s="28" t="s">
        <v>623</v>
      </c>
      <c r="D30" s="28" t="s">
        <v>624</v>
      </c>
      <c r="E30" s="28" t="s">
        <v>625</v>
      </c>
    </row>
    <row r="31" spans="1:5" ht="140.25" customHeight="1">
      <c r="A31" s="105" t="s">
        <v>669</v>
      </c>
      <c r="B31" s="103" t="s">
        <v>670</v>
      </c>
      <c r="C31" s="104" t="s">
        <v>671</v>
      </c>
      <c r="D31" s="130" t="s">
        <v>714</v>
      </c>
      <c r="E31" s="104" t="s">
        <v>672</v>
      </c>
    </row>
    <row r="32" spans="1:5" ht="96" customHeight="1">
      <c r="A32" s="98" t="s">
        <v>673</v>
      </c>
      <c r="B32" s="99" t="s">
        <v>674</v>
      </c>
      <c r="C32" s="101" t="s">
        <v>675</v>
      </c>
      <c r="D32" s="129" t="s">
        <v>713</v>
      </c>
      <c r="E32" s="101" t="s">
        <v>676</v>
      </c>
    </row>
    <row r="33" spans="1:5" ht="102.75" hidden="1" customHeight="1">
      <c r="A33" s="102" t="s">
        <v>677</v>
      </c>
      <c r="B33" s="103" t="s">
        <v>678</v>
      </c>
      <c r="C33" s="106" t="s">
        <v>679</v>
      </c>
      <c r="D33" s="130" t="s">
        <v>712</v>
      </c>
      <c r="E33" s="104" t="s">
        <v>680</v>
      </c>
    </row>
    <row r="34" spans="1:5" ht="116.25" hidden="1" customHeight="1">
      <c r="A34" s="98" t="s">
        <v>681</v>
      </c>
      <c r="B34" s="99" t="s">
        <v>682</v>
      </c>
      <c r="C34" s="101" t="s">
        <v>683</v>
      </c>
      <c r="D34" s="125" t="s">
        <v>711</v>
      </c>
      <c r="E34" s="101" t="s">
        <v>684</v>
      </c>
    </row>
    <row r="35" spans="1:5" ht="4.5" customHeight="1">
      <c r="A35" s="127"/>
      <c r="B35" s="127"/>
      <c r="C35" s="127"/>
      <c r="D35" s="127"/>
      <c r="E35" s="127"/>
    </row>
    <row r="36" spans="1:5" ht="48.75" customHeight="1">
      <c r="A36" s="115" t="s">
        <v>685</v>
      </c>
      <c r="B36" s="115"/>
      <c r="C36" s="115"/>
      <c r="D36" s="115"/>
      <c r="E36" s="115"/>
    </row>
    <row r="37" spans="1:5" ht="27.75" customHeight="1">
      <c r="A37" s="28" t="s">
        <v>621</v>
      </c>
      <c r="B37" s="50" t="s">
        <v>622</v>
      </c>
      <c r="C37" s="28" t="s">
        <v>623</v>
      </c>
      <c r="D37" s="28" t="s">
        <v>624</v>
      </c>
      <c r="E37" s="28" t="s">
        <v>625</v>
      </c>
    </row>
    <row r="38" spans="1:5" ht="45.75" customHeight="1">
      <c r="A38" s="98" t="s">
        <v>686</v>
      </c>
      <c r="B38" s="99" t="s">
        <v>687</v>
      </c>
      <c r="C38" s="101" t="s">
        <v>688</v>
      </c>
      <c r="D38" s="125" t="s">
        <v>689</v>
      </c>
      <c r="E38" s="100" t="s">
        <v>690</v>
      </c>
    </row>
    <row r="39" spans="1:5" ht="45.75" customHeight="1">
      <c r="A39" s="102" t="s">
        <v>691</v>
      </c>
      <c r="B39" s="103" t="s">
        <v>692</v>
      </c>
      <c r="C39" s="106" t="s">
        <v>693</v>
      </c>
      <c r="D39" s="49" t="s">
        <v>694</v>
      </c>
      <c r="E39" s="104" t="s">
        <v>695</v>
      </c>
    </row>
    <row r="40" spans="1:5" ht="45.75" customHeight="1">
      <c r="A40" s="98" t="s">
        <v>696</v>
      </c>
      <c r="B40" s="99" t="s">
        <v>697</v>
      </c>
      <c r="C40" s="101" t="s">
        <v>698</v>
      </c>
      <c r="D40" s="129" t="s">
        <v>710</v>
      </c>
      <c r="E40" s="101" t="s">
        <v>699</v>
      </c>
    </row>
    <row r="41" spans="1:5" ht="21.75" customHeight="1">
      <c r="A41" s="123"/>
      <c r="B41" s="123"/>
      <c r="C41" s="123"/>
      <c r="D41" s="123"/>
      <c r="E41" s="123"/>
    </row>
    <row r="42" spans="1:5" ht="27.75" hidden="1" customHeight="1">
      <c r="A42" s="116" t="s">
        <v>700</v>
      </c>
      <c r="B42" s="116"/>
      <c r="C42" s="116"/>
      <c r="D42" s="116"/>
      <c r="E42" s="116"/>
    </row>
    <row r="43" spans="1:5" ht="30" hidden="1" customHeight="1">
      <c r="A43" s="117" t="s">
        <v>701</v>
      </c>
      <c r="B43" s="117"/>
      <c r="C43" s="118" t="s">
        <v>702</v>
      </c>
      <c r="D43" s="118"/>
      <c r="E43" s="50" t="s">
        <v>703</v>
      </c>
    </row>
    <row r="44" spans="1:5" ht="109.5" hidden="1" customHeight="1">
      <c r="A44" s="128" t="s">
        <v>704</v>
      </c>
      <c r="B44" s="128"/>
      <c r="C44" s="128" t="s">
        <v>705</v>
      </c>
      <c r="D44" s="128"/>
      <c r="E44" s="125" t="s">
        <v>706</v>
      </c>
    </row>
  </sheetData>
  <mergeCells count="13">
    <mergeCell ref="A44:B44"/>
    <mergeCell ref="C44:D44"/>
    <mergeCell ref="A23:E23"/>
    <mergeCell ref="A29:E29"/>
    <mergeCell ref="A36:E36"/>
    <mergeCell ref="A42:E42"/>
    <mergeCell ref="A43:B43"/>
    <mergeCell ref="C43:D43"/>
    <mergeCell ref="A1:E1"/>
    <mergeCell ref="A2:E2"/>
    <mergeCell ref="A8:E8"/>
    <mergeCell ref="A12:E12"/>
    <mergeCell ref="A18:E18"/>
  </mergeCells>
  <phoneticPr fontId="42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表紙</vt:lpstr>
      <vt:lpstr>エグゼクティブサマリー</vt:lpstr>
      <vt:lpstr>月別基本指標</vt:lpstr>
      <vt:lpstr>月別CV推移（統合）</vt:lpstr>
      <vt:lpstr>コンバージョン一覧</vt:lpstr>
      <vt:lpstr>逆算フロー（長期利用）</vt:lpstr>
      <vt:lpstr>集客チャネル</vt:lpstr>
      <vt:lpstr>被リンク元（上位30）</vt:lpstr>
      <vt:lpstr>ランディングページ（上位）</vt:lpstr>
      <vt:lpstr>ページ別（上位）</vt:lpstr>
      <vt:lpstr>ページ分類別</vt:lpstr>
      <vt:lpstr>ユーザー属性</vt:lpstr>
      <vt:lpstr>曜日・時間帯別</vt:lpstr>
      <vt:lpstr>改善提案アクションプラン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畑中 孝仁</cp:lastModifiedBy>
  <cp:revision>10</cp:revision>
  <dcterms:created xsi:type="dcterms:W3CDTF">2026-04-16T22:11:25Z</dcterms:created>
  <dcterms:modified xsi:type="dcterms:W3CDTF">2026-04-16T23:32:35Z</dcterms:modified>
  <dc:language>en-US</dc:language>
</cp:coreProperties>
</file>